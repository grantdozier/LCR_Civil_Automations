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ne Smith\LCR &amp; Company, LLC Dropbox\LCR &amp; Company, LLC Team Folder\2. Projects\Engineering\25-020 Sunset Park Improvements\7. DIA\"/>
    </mc:Choice>
  </mc:AlternateContent>
  <xr:revisionPtr revIDLastSave="0" documentId="13_ncr:1_{F847E192-C75C-43D3-B59A-DE43CBEC866F}" xr6:coauthVersionLast="47" xr6:coauthVersionMax="47" xr10:uidLastSave="{00000000-0000-0000-0000-000000000000}"/>
  <bookViews>
    <workbookView xWindow="28680" yWindow="-120" windowWidth="29040" windowHeight="15720" xr2:uid="{39557BF7-9EFD-44F5-84EC-1AF5942109CF}"/>
  </bookViews>
  <sheets>
    <sheet name="CALC SUMMARY" sheetId="10" r:id="rId1"/>
    <sheet name="EXISTING" sheetId="1" r:id="rId2"/>
    <sheet name="PROPOSED" sheetId="8" r:id="rId3"/>
    <sheet name="RDSIDE DITCH" sheetId="9" r:id="rId4"/>
  </sheets>
  <definedNames>
    <definedName name="_xlnm.Print_Area" localSheetId="1">EXISTING!$A$1:$F$51</definedName>
    <definedName name="_xlnm.Print_Area" localSheetId="2">PROPOSED!$A$1:$R$54</definedName>
    <definedName name="_xlnm.Print_Area" localSheetId="3">'RDSIDE DITCH'!$A$1:$F$50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8" l="1"/>
  <c r="C53" i="8" s="1"/>
  <c r="O4" i="10" s="1"/>
  <c r="K49" i="8"/>
  <c r="K47" i="8"/>
  <c r="K44" i="8"/>
  <c r="K21" i="8"/>
  <c r="K23" i="8" s="1"/>
  <c r="K18" i="8" s="1"/>
  <c r="C24" i="8" s="1"/>
  <c r="D35" i="8"/>
  <c r="P4" i="10"/>
  <c r="P3" i="10"/>
  <c r="D8" i="8"/>
  <c r="C49" i="8"/>
  <c r="Q4" i="10" s="1"/>
  <c r="E34" i="8"/>
  <c r="E33" i="8"/>
  <c r="E32" i="8"/>
  <c r="E31" i="8"/>
  <c r="G3" i="10"/>
  <c r="F4" i="10"/>
  <c r="F3" i="10"/>
  <c r="D33" i="1"/>
  <c r="E33" i="1" s="1"/>
  <c r="E34" i="1" s="1"/>
  <c r="C22" i="1"/>
  <c r="D8" i="1"/>
  <c r="C47" i="1"/>
  <c r="G4" i="10" s="1"/>
  <c r="C40" i="1"/>
  <c r="C4" i="10" s="1"/>
  <c r="E32" i="1"/>
  <c r="E31" i="1"/>
  <c r="E30" i="1"/>
  <c r="E29" i="1"/>
  <c r="C22" i="9"/>
  <c r="E7" i="9"/>
  <c r="D6" i="9"/>
  <c r="E6" i="9" s="1"/>
  <c r="D5" i="9"/>
  <c r="D8" i="9" s="1"/>
  <c r="E4" i="9"/>
  <c r="C39" i="1" l="1"/>
  <c r="C36" i="1"/>
  <c r="C37" i="1"/>
  <c r="D9" i="9"/>
  <c r="E8" i="9"/>
  <c r="E5" i="9"/>
  <c r="E9" i="9" s="1"/>
  <c r="C49" i="1" l="1"/>
  <c r="E4" i="10" s="1"/>
  <c r="D4" i="10"/>
  <c r="C14" i="9"/>
  <c r="C11" i="9"/>
  <c r="C15" i="9"/>
  <c r="C12" i="9"/>
  <c r="C24" i="9" l="1"/>
  <c r="H7" i="9" l="1"/>
  <c r="I7" i="9" s="1"/>
  <c r="J7" i="9" s="1"/>
  <c r="H4" i="9"/>
  <c r="I4" i="9" s="1"/>
  <c r="J4" i="9" s="1"/>
  <c r="H6" i="9"/>
  <c r="I6" i="9" s="1"/>
  <c r="J6" i="9" s="1"/>
  <c r="H5" i="9"/>
  <c r="I5" i="9" s="1"/>
  <c r="J5" i="9" s="1"/>
  <c r="C22" i="8" l="1"/>
  <c r="Q3" i="10" s="1"/>
  <c r="E7" i="8"/>
  <c r="E6" i="8"/>
  <c r="E4" i="8"/>
  <c r="E5" i="8" l="1"/>
  <c r="E8" i="8"/>
  <c r="C15" i="8"/>
  <c r="M3" i="10" s="1"/>
  <c r="E8" i="1"/>
  <c r="E5" i="1"/>
  <c r="E6" i="1"/>
  <c r="E7" i="1"/>
  <c r="E4" i="1"/>
  <c r="E9" i="8" l="1"/>
  <c r="E9" i="1"/>
  <c r="C12" i="8"/>
  <c r="C12" i="1"/>
  <c r="C11" i="8" l="1"/>
  <c r="C14" i="8"/>
  <c r="N3" i="10" s="1"/>
  <c r="C25" i="8"/>
  <c r="C26" i="8" s="1"/>
  <c r="O3" i="10" s="1"/>
  <c r="C15" i="1"/>
  <c r="C3" i="10" s="1"/>
  <c r="C5" i="10" s="1"/>
  <c r="C14" i="1"/>
  <c r="D3" i="10" s="1"/>
  <c r="C11" i="1"/>
  <c r="H7" i="8" l="1"/>
  <c r="I7" i="8" s="1"/>
  <c r="J7" i="8" s="1"/>
  <c r="H5" i="8"/>
  <c r="I5" i="8" s="1"/>
  <c r="J5" i="8" s="1"/>
  <c r="H4" i="8"/>
  <c r="I4" i="8" s="1"/>
  <c r="J4" i="8" s="1"/>
  <c r="H32" i="8"/>
  <c r="I32" i="8" s="1"/>
  <c r="J32" i="8" s="1"/>
  <c r="H6" i="8"/>
  <c r="I6" i="8" s="1"/>
  <c r="J6" i="8" s="1"/>
  <c r="H33" i="8"/>
  <c r="I33" i="8" s="1"/>
  <c r="J33" i="8" s="1"/>
  <c r="H34" i="8"/>
  <c r="I34" i="8" s="1"/>
  <c r="J34" i="8" s="1"/>
  <c r="H31" i="8"/>
  <c r="I31" i="8" s="1"/>
  <c r="J31" i="8" s="1"/>
  <c r="C24" i="1"/>
  <c r="E3" i="10" s="1"/>
  <c r="H4" i="1" l="1"/>
  <c r="I4" i="1" s="1"/>
  <c r="J4" i="1" s="1"/>
  <c r="H31" i="1"/>
  <c r="I31" i="1" s="1"/>
  <c r="J31" i="1" s="1"/>
  <c r="H32" i="1"/>
  <c r="I32" i="1" s="1"/>
  <c r="J32" i="1" s="1"/>
  <c r="H30" i="1"/>
  <c r="I30" i="1" s="1"/>
  <c r="J30" i="1" s="1"/>
  <c r="H29" i="1"/>
  <c r="I29" i="1" s="1"/>
  <c r="J29" i="1" s="1"/>
  <c r="H5" i="1"/>
  <c r="I5" i="1" s="1"/>
  <c r="J5" i="1" s="1"/>
  <c r="H6" i="1"/>
  <c r="I6" i="1" s="1"/>
  <c r="J6" i="1" s="1"/>
  <c r="H7" i="1"/>
  <c r="I7" i="1" s="1"/>
  <c r="J7" i="1" s="1"/>
  <c r="C39" i="8" l="1"/>
  <c r="C42" i="8"/>
  <c r="M4" i="10" s="1"/>
  <c r="M5" i="10" s="1"/>
  <c r="E35" i="8"/>
  <c r="E36" i="8" s="1"/>
  <c r="C41" i="8" l="1"/>
  <c r="C52" i="8" s="1"/>
  <c r="C38" i="8"/>
  <c r="N4" i="10" l="1"/>
</calcChain>
</file>

<file path=xl/sharedStrings.xml><?xml version="1.0" encoding="utf-8"?>
<sst xmlns="http://schemas.openxmlformats.org/spreadsheetml/2006/main" count="264" uniqueCount="83">
  <si>
    <t>Description</t>
  </si>
  <si>
    <t>Concrete Paving</t>
  </si>
  <si>
    <t>Green Area (Unimproved)</t>
  </si>
  <si>
    <t>Metal Building/Canopies</t>
  </si>
  <si>
    <t>Runoff 
Coefficient - C</t>
  </si>
  <si>
    <t>Area (sf) - A</t>
  </si>
  <si>
    <t>C x A</t>
  </si>
  <si>
    <t>Totals</t>
  </si>
  <si>
    <t>Existing Composite C =</t>
  </si>
  <si>
    <t>Return Period
(Years)</t>
  </si>
  <si>
    <t>Total Area A =</t>
  </si>
  <si>
    <t>acres</t>
  </si>
  <si>
    <t>Peak Runoff Rate (Q) =</t>
  </si>
  <si>
    <t>C x I x A</t>
  </si>
  <si>
    <t>Intensity 
(in/hr) - I</t>
  </si>
  <si>
    <t>Peak Runoff
(cfs) - Q</t>
  </si>
  <si>
    <t>Duration 
(hrs) - D</t>
  </si>
  <si>
    <t>Time of Concentration (TC) =</t>
  </si>
  <si>
    <t>Hydraulic Length (HL) =</t>
  </si>
  <si>
    <t>ft</t>
  </si>
  <si>
    <t>Slope (S) =</t>
  </si>
  <si>
    <r>
      <t>0.7039(HL</t>
    </r>
    <r>
      <rPr>
        <b/>
        <vertAlign val="superscript"/>
        <sz val="11"/>
        <color theme="1"/>
        <rFont val="Calibri"/>
        <family val="2"/>
        <scheme val="minor"/>
      </rPr>
      <t>0.3917</t>
    </r>
    <r>
      <rPr>
        <b/>
        <sz val="11"/>
        <color theme="1"/>
        <rFont val="Calibri"/>
        <family val="2"/>
        <scheme val="minor"/>
      </rPr>
      <t>)(C</t>
    </r>
    <r>
      <rPr>
        <b/>
        <vertAlign val="superscript"/>
        <sz val="11"/>
        <color theme="1"/>
        <rFont val="Calibri"/>
        <family val="2"/>
        <scheme val="minor"/>
      </rPr>
      <t>-1.1309</t>
    </r>
    <r>
      <rPr>
        <b/>
        <sz val="11"/>
        <color theme="1"/>
        <rFont val="Calibri"/>
        <family val="2"/>
        <scheme val="minor"/>
      </rPr>
      <t>)(S</t>
    </r>
    <r>
      <rPr>
        <b/>
        <vertAlign val="superscript"/>
        <sz val="11"/>
        <color theme="1"/>
        <rFont val="Calibri"/>
        <family val="2"/>
        <scheme val="minor"/>
      </rPr>
      <t>-0.1985</t>
    </r>
    <r>
      <rPr>
        <b/>
        <sz val="11"/>
        <color theme="1"/>
        <rFont val="Calibri"/>
        <family val="2"/>
        <scheme val="minor"/>
      </rPr>
      <t>)</t>
    </r>
  </si>
  <si>
    <t>Existing Peak Runoff Rates</t>
  </si>
  <si>
    <t>mins</t>
  </si>
  <si>
    <t>EXISTING Time of Concentration (TC) =</t>
  </si>
  <si>
    <t>%</t>
  </si>
  <si>
    <t>Industrial</t>
  </si>
  <si>
    <t>EL Delta (ft) =</t>
  </si>
  <si>
    <t>a</t>
  </si>
  <si>
    <t>b</t>
  </si>
  <si>
    <t>c</t>
  </si>
  <si>
    <t>5-Year</t>
  </si>
  <si>
    <t>10-Year</t>
  </si>
  <si>
    <t>100-Year</t>
  </si>
  <si>
    <t>25-Year</t>
  </si>
  <si>
    <r>
      <t>I (in/hr)= a(D + b)</t>
    </r>
    <r>
      <rPr>
        <b/>
        <vertAlign val="superscript"/>
        <sz val="11"/>
        <color theme="1"/>
        <rFont val="Calibri"/>
        <family val="2"/>
        <scheme val="minor"/>
      </rPr>
      <t>c</t>
    </r>
  </si>
  <si>
    <t>Existing Pond (Wet)</t>
  </si>
  <si>
    <t>Limestone Paving</t>
  </si>
  <si>
    <t>Building/Canopies</t>
  </si>
  <si>
    <t>Proposed Composite C =</t>
  </si>
  <si>
    <t>Proposed DA-1 Conditions</t>
  </si>
  <si>
    <t>Proposed Peak Runoff Rates</t>
  </si>
  <si>
    <t>PROPOSED Time of Concentration (TC) =</t>
  </si>
  <si>
    <t>Limestone Shoulder</t>
  </si>
  <si>
    <t>Asphalt/Concrete</t>
  </si>
  <si>
    <t>TC (Min)</t>
  </si>
  <si>
    <t>E-DA</t>
  </si>
  <si>
    <t>Existing  DA-2 Conditions</t>
  </si>
  <si>
    <t>Existing  DA-1 Conditions</t>
  </si>
  <si>
    <t>E-DA1</t>
  </si>
  <si>
    <t>E-DA2</t>
  </si>
  <si>
    <t>Weighted "C"</t>
  </si>
  <si>
    <t>Existing Areas Calculation Summary:</t>
  </si>
  <si>
    <t>S(%)</t>
  </si>
  <si>
    <t>POST-DA1</t>
  </si>
  <si>
    <t>POST-DA2</t>
  </si>
  <si>
    <t>HL(ft)</t>
  </si>
  <si>
    <t>Proposed Areas Calculation Summary:</t>
  </si>
  <si>
    <t>POST-DA</t>
  </si>
  <si>
    <t>Area (ac)</t>
  </si>
  <si>
    <t>Total (ac)</t>
  </si>
  <si>
    <t>Outfall Point 2</t>
  </si>
  <si>
    <t>Outfall Point 1</t>
  </si>
  <si>
    <t>Outfall 1</t>
  </si>
  <si>
    <t>Outfall 2</t>
  </si>
  <si>
    <t>SHEET FLOW</t>
  </si>
  <si>
    <t>TC Pipe Flow=</t>
  </si>
  <si>
    <t>TC Total=</t>
  </si>
  <si>
    <t>Pipe Velocity=</t>
  </si>
  <si>
    <t>r</t>
  </si>
  <si>
    <t>s</t>
  </si>
  <si>
    <t>n</t>
  </si>
  <si>
    <t>Flow Length</t>
  </si>
  <si>
    <t>ft/ft</t>
  </si>
  <si>
    <t>mannings</t>
  </si>
  <si>
    <t>hyd. Rad.</t>
  </si>
  <si>
    <t>Wetted Per.</t>
  </si>
  <si>
    <t>ft/s</t>
  </si>
  <si>
    <t>pw</t>
  </si>
  <si>
    <t>CX Area</t>
  </si>
  <si>
    <t>*Assumed lowest value in range for PVC to get slower v</t>
  </si>
  <si>
    <t>TC Total =</t>
  </si>
  <si>
    <t>(Mannng's Eq.)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</si>
</sst>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  <numFmt numFmtId="167" formatCode="#,##0.000_);\(#,##0.000\)"/>
    <numFmt numFmtId="171" formatCode="0.00000"/>
    <numFmt numFmtId="172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0" fontId="0" fillId="0" borderId="0" xfId="0" applyAlignment="1">
      <alignment horizontal="right"/>
    </xf>
    <xf numFmtId="164" fontId="0" fillId="0" borderId="1" xfId="1" applyNumberFormat="1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0" fillId="0" borderId="2" xfId="0" applyBorder="1"/>
    <xf numFmtId="2" fontId="0" fillId="0" borderId="2" xfId="0" applyNumberFormat="1" applyBorder="1"/>
    <xf numFmtId="164" fontId="0" fillId="0" borderId="2" xfId="1" applyNumberFormat="1" applyFont="1" applyBorder="1"/>
    <xf numFmtId="164" fontId="0" fillId="0" borderId="2" xfId="0" applyNumberFormat="1" applyBorder="1"/>
    <xf numFmtId="0" fontId="2" fillId="0" borderId="2" xfId="0" applyFont="1" applyBorder="1"/>
    <xf numFmtId="164" fontId="2" fillId="0" borderId="2" xfId="0" applyNumberFormat="1" applyFont="1" applyBorder="1"/>
    <xf numFmtId="43" fontId="0" fillId="0" borderId="2" xfId="0" applyNumberForma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2" fontId="2" fillId="0" borderId="0" xfId="0" applyNumberFormat="1" applyFont="1"/>
    <xf numFmtId="2" fontId="0" fillId="0" borderId="0" xfId="0" applyNumberFormat="1"/>
    <xf numFmtId="43" fontId="0" fillId="0" borderId="0" xfId="0" applyNumberFormat="1"/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0" applyNumberFormat="1"/>
    <xf numFmtId="165" fontId="0" fillId="0" borderId="0" xfId="0" applyNumberFormat="1" applyAlignment="1">
      <alignment horizontal="right"/>
    </xf>
    <xf numFmtId="167" fontId="0" fillId="0" borderId="0" xfId="1" applyNumberFormat="1" applyFont="1"/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/>
    </xf>
    <xf numFmtId="164" fontId="0" fillId="0" borderId="0" xfId="1" applyNumberFormat="1" applyFont="1" applyBorder="1"/>
    <xf numFmtId="164" fontId="2" fillId="0" borderId="0" xfId="0" applyNumberFormat="1" applyFont="1"/>
    <xf numFmtId="0" fontId="0" fillId="2" borderId="0" xfId="0" applyFill="1"/>
    <xf numFmtId="0" fontId="2" fillId="2" borderId="0" xfId="0" applyFont="1" applyFill="1" applyAlignment="1">
      <alignment horizontal="right"/>
    </xf>
    <xf numFmtId="2" fontId="2" fillId="2" borderId="0" xfId="0" applyNumberFormat="1" applyFont="1" applyFill="1"/>
    <xf numFmtId="0" fontId="2" fillId="2" borderId="0" xfId="0" applyFont="1" applyFill="1"/>
    <xf numFmtId="2" fontId="0" fillId="0" borderId="2" xfId="0" applyNumberFormat="1" applyBorder="1" applyAlignment="1">
      <alignment horizontal="center" vertical="center"/>
    </xf>
    <xf numFmtId="1" fontId="0" fillId="0" borderId="2" xfId="0" applyNumberFormat="1" applyBorder="1"/>
    <xf numFmtId="0" fontId="8" fillId="0" borderId="0" xfId="0" applyFont="1" applyAlignment="1">
      <alignment horizontal="center"/>
    </xf>
    <xf numFmtId="2" fontId="0" fillId="0" borderId="2" xfId="2" applyNumberFormat="1" applyFont="1" applyBorder="1"/>
    <xf numFmtId="43" fontId="0" fillId="0" borderId="2" xfId="0" applyNumberFormat="1" applyBorder="1" applyAlignment="1">
      <alignment horizontal="center" vertical="center"/>
    </xf>
    <xf numFmtId="0" fontId="5" fillId="0" borderId="0" xfId="0" applyFont="1" applyAlignment="1">
      <alignment horizontal="center"/>
    </xf>
    <xf numFmtId="167" fontId="0" fillId="0" borderId="0" xfId="1" applyNumberFormat="1" applyFont="1" applyBorder="1"/>
    <xf numFmtId="0" fontId="4" fillId="0" borderId="0" xfId="0" applyFont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71" fontId="0" fillId="0" borderId="0" xfId="0" applyNumberFormat="1"/>
    <xf numFmtId="172" fontId="0" fillId="0" borderId="0" xfId="0" applyNumberFormat="1"/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B07B-CF04-4698-B71C-13B9B8169741}">
  <sheetPr>
    <tabColor theme="9" tint="0.59999389629810485"/>
  </sheetPr>
  <dimension ref="A1:R5"/>
  <sheetViews>
    <sheetView tabSelected="1" workbookViewId="0">
      <selection activeCell="O5" sqref="O5"/>
    </sheetView>
  </sheetViews>
  <sheetFormatPr defaultRowHeight="15" x14ac:dyDescent="0.25"/>
  <cols>
    <col min="4" max="4" width="13.140625" bestFit="1" customWidth="1"/>
    <col min="7" max="7" width="9.5703125" bestFit="1" customWidth="1"/>
    <col min="14" max="14" width="13.140625" bestFit="1" customWidth="1"/>
  </cols>
  <sheetData>
    <row r="1" spans="1:18" ht="22.5" customHeight="1" x14ac:dyDescent="0.25">
      <c r="A1" s="44" t="s">
        <v>52</v>
      </c>
      <c r="B1" s="44"/>
      <c r="C1" s="44"/>
      <c r="D1" s="44"/>
      <c r="E1" s="44"/>
      <c r="F1" s="44"/>
      <c r="G1" s="44"/>
      <c r="H1" s="44"/>
      <c r="K1" s="44" t="s">
        <v>57</v>
      </c>
      <c r="L1" s="44"/>
      <c r="M1" s="44"/>
      <c r="N1" s="44"/>
      <c r="O1" s="44"/>
      <c r="P1" s="44"/>
      <c r="Q1" s="44"/>
      <c r="R1" s="44"/>
    </row>
    <row r="2" spans="1:18" x14ac:dyDescent="0.25">
      <c r="B2" s="20" t="s">
        <v>46</v>
      </c>
      <c r="C2" s="20" t="s">
        <v>59</v>
      </c>
      <c r="D2" s="20" t="s">
        <v>51</v>
      </c>
      <c r="E2" s="20" t="s">
        <v>45</v>
      </c>
      <c r="F2" s="20" t="s">
        <v>56</v>
      </c>
      <c r="G2" s="20" t="s">
        <v>53</v>
      </c>
      <c r="L2" s="20" t="s">
        <v>58</v>
      </c>
      <c r="M2" s="20" t="s">
        <v>59</v>
      </c>
      <c r="N2" s="20" t="s">
        <v>51</v>
      </c>
      <c r="O2" s="20" t="s">
        <v>45</v>
      </c>
      <c r="P2" s="20" t="s">
        <v>56</v>
      </c>
      <c r="Q2" s="20" t="s">
        <v>53</v>
      </c>
    </row>
    <row r="3" spans="1:18" x14ac:dyDescent="0.25">
      <c r="A3" t="s">
        <v>63</v>
      </c>
      <c r="B3" s="20">
        <v>1</v>
      </c>
      <c r="C3" s="40">
        <f>EXISTING!C15</f>
        <v>0.89920867768595036</v>
      </c>
      <c r="D3" s="36">
        <f>EXISTING!C14</f>
        <v>0.53109262480300368</v>
      </c>
      <c r="E3" s="36">
        <f>EXISTING!C24</f>
        <v>18.087212119274728</v>
      </c>
      <c r="F3" s="37">
        <f>EXISTING!C21</f>
        <v>364.3</v>
      </c>
      <c r="G3" s="39">
        <f>EXISTING!C22</f>
        <v>0.32939884710403511</v>
      </c>
      <c r="K3" t="s">
        <v>63</v>
      </c>
      <c r="L3" s="20">
        <v>1</v>
      </c>
      <c r="M3" s="40">
        <f>PROPOSED!C15</f>
        <v>0.89982667584940301</v>
      </c>
      <c r="N3" s="36">
        <f>PROPOSED!C14</f>
        <v>0.58900224382565258</v>
      </c>
      <c r="O3" s="36">
        <f>PROPOSED!C26</f>
        <v>24.255345040343748</v>
      </c>
      <c r="P3" s="37">
        <f>PROPOSED!C21</f>
        <v>334.56</v>
      </c>
      <c r="Q3" s="39">
        <f>PROPOSED!C22</f>
        <v>0.32879005260640848</v>
      </c>
    </row>
    <row r="4" spans="1:18" x14ac:dyDescent="0.25">
      <c r="A4" t="s">
        <v>64</v>
      </c>
      <c r="B4" s="20">
        <v>2</v>
      </c>
      <c r="C4" s="40">
        <f>EXISTING!C40</f>
        <v>1.1762598714416896</v>
      </c>
      <c r="D4" s="36">
        <f>EXISTING!C39</f>
        <v>0.38245383103282188</v>
      </c>
      <c r="E4" s="36">
        <f>EXISTING!C49</f>
        <v>22.235022187892461</v>
      </c>
      <c r="F4" s="37">
        <f>EXISTING!C46</f>
        <v>315.77999999999997</v>
      </c>
      <c r="G4" s="39">
        <f>EXISTING!C47</f>
        <v>0.57001710051301546</v>
      </c>
      <c r="K4" t="s">
        <v>64</v>
      </c>
      <c r="L4" s="20">
        <v>2</v>
      </c>
      <c r="M4" s="40">
        <f>PROPOSED!C42</f>
        <v>1.1762598714416896</v>
      </c>
      <c r="N4" s="36">
        <f>PROPOSED!C41</f>
        <v>0.4594900872167233</v>
      </c>
      <c r="O4" s="36">
        <f>PROPOSED!C53</f>
        <v>28.50421941177818</v>
      </c>
      <c r="P4" s="37">
        <f>PROPOSED!C48</f>
        <v>376.05</v>
      </c>
      <c r="Q4" s="39">
        <f>PROPOSED!C49</f>
        <v>0.50525196117537552</v>
      </c>
    </row>
    <row r="5" spans="1:18" x14ac:dyDescent="0.25">
      <c r="B5" t="s">
        <v>60</v>
      </c>
      <c r="C5" s="19">
        <f>SUM(C3:C4)</f>
        <v>2.0754685491276401</v>
      </c>
      <c r="L5" t="s">
        <v>60</v>
      </c>
      <c r="M5" s="19">
        <f>SUM(M3:M4)</f>
        <v>2.0760865472910925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9920-19E1-4389-9EB4-93570DA96A3D}">
  <sheetPr>
    <tabColor theme="9" tint="0.59999389629810485"/>
    <pageSetUpPr fitToPage="1"/>
  </sheetPr>
  <dimension ref="A1:Q74"/>
  <sheetViews>
    <sheetView topLeftCell="A22" zoomScaleNormal="100" zoomScaleSheetLayoutView="100" workbookViewId="0">
      <selection activeCell="C47" sqref="C47"/>
    </sheetView>
  </sheetViews>
  <sheetFormatPr defaultRowHeight="15" x14ac:dyDescent="0.25"/>
  <cols>
    <col min="1" max="1" width="10.7109375" customWidth="1"/>
    <col min="2" max="2" width="24.7109375" customWidth="1"/>
    <col min="3" max="5" width="12.7109375" customWidth="1"/>
    <col min="7" max="11" width="12.7109375" customWidth="1"/>
    <col min="16" max="16" width="13.140625" bestFit="1" customWidth="1"/>
    <col min="20" max="20" width="10.7109375" bestFit="1" customWidth="1"/>
  </cols>
  <sheetData>
    <row r="1" spans="1:17" ht="23.25" x14ac:dyDescent="0.35">
      <c r="A1" s="38" t="s">
        <v>49</v>
      </c>
      <c r="B1" s="43" t="s">
        <v>62</v>
      </c>
    </row>
    <row r="2" spans="1:17" x14ac:dyDescent="0.25">
      <c r="B2" s="46" t="s">
        <v>48</v>
      </c>
      <c r="C2" s="46"/>
      <c r="D2" s="46"/>
      <c r="E2" s="46"/>
      <c r="G2" s="46" t="s">
        <v>22</v>
      </c>
      <c r="H2" s="46"/>
      <c r="I2" s="46"/>
      <c r="J2" s="46"/>
    </row>
    <row r="3" spans="1:17" ht="45" x14ac:dyDescent="0.25">
      <c r="B3" s="6" t="s">
        <v>0</v>
      </c>
      <c r="C3" s="7" t="s">
        <v>4</v>
      </c>
      <c r="D3" s="6" t="s">
        <v>5</v>
      </c>
      <c r="E3" s="6" t="s">
        <v>6</v>
      </c>
      <c r="G3" s="7" t="s">
        <v>9</v>
      </c>
      <c r="H3" s="7" t="s">
        <v>16</v>
      </c>
      <c r="I3" s="7" t="s">
        <v>14</v>
      </c>
      <c r="J3" s="7" t="s">
        <v>15</v>
      </c>
      <c r="K3" s="15"/>
    </row>
    <row r="4" spans="1:17" x14ac:dyDescent="0.25">
      <c r="B4" s="8" t="s">
        <v>26</v>
      </c>
      <c r="C4" s="9">
        <v>0.65</v>
      </c>
      <c r="D4" s="10">
        <v>0</v>
      </c>
      <c r="E4" s="11">
        <f>C4*D4</f>
        <v>0</v>
      </c>
      <c r="G4" s="20">
        <v>5</v>
      </c>
      <c r="H4" s="9">
        <f>$C$24/60</f>
        <v>0.30145353532124547</v>
      </c>
      <c r="I4" s="9">
        <f>H11*(H4+I11)^(J11)</f>
        <v>5.2290371309082415</v>
      </c>
      <c r="J4" s="14">
        <f>$C$14*I4*$C$15</f>
        <v>2.4971951659259095</v>
      </c>
    </row>
    <row r="5" spans="1:17" x14ac:dyDescent="0.25">
      <c r="B5" s="8" t="s">
        <v>1</v>
      </c>
      <c r="C5" s="9">
        <v>0.95</v>
      </c>
      <c r="D5" s="10">
        <v>13925.83</v>
      </c>
      <c r="E5" s="11">
        <f t="shared" ref="E5:E8" si="0">C5*D5</f>
        <v>13229.538499999999</v>
      </c>
      <c r="G5" s="20">
        <v>10</v>
      </c>
      <c r="H5" s="9">
        <f>$C$24/60</f>
        <v>0.30145353532124547</v>
      </c>
      <c r="I5" s="9">
        <f t="shared" ref="I5:I7" si="1">H12*(H5+I12)^(J12)</f>
        <v>5.7435679557811019</v>
      </c>
      <c r="J5" s="14">
        <f>$C$14*I5*$C$15</f>
        <v>2.7429161000913171</v>
      </c>
    </row>
    <row r="6" spans="1:17" x14ac:dyDescent="0.25">
      <c r="B6" s="8" t="s">
        <v>3</v>
      </c>
      <c r="C6" s="9">
        <v>0.85</v>
      </c>
      <c r="D6" s="10">
        <v>0</v>
      </c>
      <c r="E6" s="11">
        <f t="shared" si="0"/>
        <v>0</v>
      </c>
      <c r="G6" s="20">
        <v>25</v>
      </c>
      <c r="H6" s="9">
        <f t="shared" ref="H6:H7" si="2">$C$24/60</f>
        <v>0.30145353532124547</v>
      </c>
      <c r="I6" s="9">
        <f t="shared" si="1"/>
        <v>6.5230491992500585</v>
      </c>
      <c r="J6" s="14">
        <f t="shared" ref="J6:J7" si="3">$C$14*I6*$C$15</f>
        <v>3.1151675766805647</v>
      </c>
    </row>
    <row r="7" spans="1:17" x14ac:dyDescent="0.25">
      <c r="B7" s="8" t="s">
        <v>36</v>
      </c>
      <c r="C7" s="9">
        <v>0.95</v>
      </c>
      <c r="D7" s="10">
        <v>0</v>
      </c>
      <c r="E7" s="11">
        <f t="shared" si="0"/>
        <v>0</v>
      </c>
      <c r="G7" s="20">
        <v>100</v>
      </c>
      <c r="H7" s="9">
        <f t="shared" si="2"/>
        <v>0.30145353532124547</v>
      </c>
      <c r="I7" s="9">
        <f t="shared" si="1"/>
        <v>7.7409516672256826</v>
      </c>
      <c r="J7" s="14">
        <f t="shared" si="3"/>
        <v>3.6967928509822041</v>
      </c>
    </row>
    <row r="8" spans="1:17" x14ac:dyDescent="0.25">
      <c r="B8" s="8" t="s">
        <v>2</v>
      </c>
      <c r="C8" s="9">
        <v>0.3</v>
      </c>
      <c r="D8" s="10">
        <f>D9-D5</f>
        <v>25243.699999999997</v>
      </c>
      <c r="E8" s="11">
        <f t="shared" si="0"/>
        <v>7573.1099999999988</v>
      </c>
      <c r="G8" s="23"/>
      <c r="I8" s="3"/>
      <c r="J8" s="19"/>
    </row>
    <row r="9" spans="1:17" ht="17.25" x14ac:dyDescent="0.25">
      <c r="B9" s="12" t="s">
        <v>7</v>
      </c>
      <c r="C9" s="12"/>
      <c r="D9" s="13">
        <v>39169.53</v>
      </c>
      <c r="E9" s="13">
        <f>SUM(E4:E8)</f>
        <v>20802.648499999996</v>
      </c>
      <c r="G9" s="45" t="s">
        <v>35</v>
      </c>
      <c r="H9" s="45"/>
      <c r="I9" s="45"/>
      <c r="J9" s="45"/>
    </row>
    <row r="10" spans="1:17" x14ac:dyDescent="0.25">
      <c r="G10" s="23"/>
      <c r="H10" s="15" t="s">
        <v>28</v>
      </c>
      <c r="I10" s="28" t="s">
        <v>29</v>
      </c>
      <c r="J10" s="29" t="s">
        <v>30</v>
      </c>
    </row>
    <row r="11" spans="1:17" x14ac:dyDescent="0.25">
      <c r="B11" s="4" t="s">
        <v>8</v>
      </c>
      <c r="C11" s="5">
        <f>E9</f>
        <v>20802.648499999996</v>
      </c>
      <c r="G11" s="27" t="s">
        <v>31</v>
      </c>
      <c r="H11">
        <v>3.536</v>
      </c>
      <c r="I11" s="25">
        <v>0.33</v>
      </c>
      <c r="J11" s="26">
        <v>-0.85099999999999998</v>
      </c>
    </row>
    <row r="12" spans="1:17" x14ac:dyDescent="0.25">
      <c r="B12" s="4"/>
      <c r="C12" s="1">
        <f>D9</f>
        <v>39169.53</v>
      </c>
      <c r="G12" s="27" t="s">
        <v>32</v>
      </c>
      <c r="H12">
        <v>4.016</v>
      </c>
      <c r="I12" s="25">
        <v>0.34699999999999998</v>
      </c>
      <c r="J12" s="26">
        <v>-0.82599999999999996</v>
      </c>
      <c r="Q12">
        <v>0.70389999999999997</v>
      </c>
    </row>
    <row r="13" spans="1:17" x14ac:dyDescent="0.25">
      <c r="B13" s="4"/>
      <c r="G13" s="2" t="s">
        <v>34</v>
      </c>
      <c r="H13">
        <v>4.6109999999999998</v>
      </c>
      <c r="I13">
        <v>0.34599999999999997</v>
      </c>
      <c r="J13" s="26">
        <v>-0.79800000000000004</v>
      </c>
      <c r="Q13">
        <v>0.39169999999999999</v>
      </c>
    </row>
    <row r="14" spans="1:17" x14ac:dyDescent="0.25">
      <c r="B14" s="4" t="s">
        <v>8</v>
      </c>
      <c r="C14" s="18">
        <f>E9/D9</f>
        <v>0.53109262480300368</v>
      </c>
      <c r="G14" s="27" t="s">
        <v>33</v>
      </c>
      <c r="H14">
        <v>5.4870000000000001</v>
      </c>
      <c r="I14">
        <v>0.33400000000000002</v>
      </c>
      <c r="J14" s="26">
        <v>-0.75900000000000001</v>
      </c>
      <c r="Q14">
        <v>-1.1309</v>
      </c>
    </row>
    <row r="15" spans="1:17" x14ac:dyDescent="0.25">
      <c r="B15" s="4" t="s">
        <v>10</v>
      </c>
      <c r="C15" s="19">
        <f>D9/43560</f>
        <v>0.89920867768595036</v>
      </c>
      <c r="D15" t="s">
        <v>11</v>
      </c>
      <c r="Q15">
        <v>-0.19850000000000001</v>
      </c>
    </row>
    <row r="16" spans="1:17" x14ac:dyDescent="0.25">
      <c r="B16" s="4"/>
    </row>
    <row r="17" spans="1:12" x14ac:dyDescent="0.25">
      <c r="B17" s="16" t="s">
        <v>12</v>
      </c>
      <c r="C17" s="2" t="s">
        <v>13</v>
      </c>
    </row>
    <row r="18" spans="1:12" x14ac:dyDescent="0.25">
      <c r="B18" s="4"/>
    </row>
    <row r="19" spans="1:12" ht="17.25" x14ac:dyDescent="0.25">
      <c r="B19" s="16" t="s">
        <v>17</v>
      </c>
      <c r="C19" s="2" t="s">
        <v>21</v>
      </c>
      <c r="D19" s="2"/>
    </row>
    <row r="20" spans="1:12" x14ac:dyDescent="0.25">
      <c r="B20" s="4"/>
    </row>
    <row r="21" spans="1:12" x14ac:dyDescent="0.25">
      <c r="B21" s="4" t="s">
        <v>18</v>
      </c>
      <c r="C21">
        <v>364.3</v>
      </c>
      <c r="D21" t="s">
        <v>19</v>
      </c>
      <c r="E21" t="s">
        <v>27</v>
      </c>
      <c r="F21" s="24">
        <v>1.2</v>
      </c>
    </row>
    <row r="22" spans="1:12" x14ac:dyDescent="0.25">
      <c r="B22" s="4" t="s">
        <v>20</v>
      </c>
      <c r="C22" s="3">
        <f>(F21/C21)*100</f>
        <v>0.32939884710403511</v>
      </c>
      <c r="D22" t="s">
        <v>25</v>
      </c>
    </row>
    <row r="23" spans="1:12" x14ac:dyDescent="0.25">
      <c r="B23" s="4"/>
    </row>
    <row r="24" spans="1:12" x14ac:dyDescent="0.25">
      <c r="B24" s="16" t="s">
        <v>24</v>
      </c>
      <c r="C24" s="17">
        <f>(Q12*(C21^(Q13))*(C14^(Q14))*(C22^(Q15)))</f>
        <v>18.087212119274728</v>
      </c>
      <c r="D24" s="2" t="s">
        <v>23</v>
      </c>
    </row>
    <row r="25" spans="1:12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</row>
    <row r="26" spans="1:12" ht="23.25" x14ac:dyDescent="0.35">
      <c r="A26" s="38" t="s">
        <v>50</v>
      </c>
      <c r="B26" s="43" t="s">
        <v>61</v>
      </c>
    </row>
    <row r="27" spans="1:12" x14ac:dyDescent="0.25">
      <c r="B27" s="46" t="s">
        <v>47</v>
      </c>
      <c r="C27" s="46"/>
      <c r="D27" s="46"/>
      <c r="E27" s="46"/>
      <c r="G27" s="46" t="s">
        <v>22</v>
      </c>
      <c r="H27" s="46"/>
      <c r="I27" s="46"/>
      <c r="J27" s="46"/>
    </row>
    <row r="28" spans="1:12" ht="45" x14ac:dyDescent="0.25">
      <c r="B28" s="6" t="s">
        <v>0</v>
      </c>
      <c r="C28" s="7" t="s">
        <v>4</v>
      </c>
      <c r="D28" s="6" t="s">
        <v>5</v>
      </c>
      <c r="E28" s="6" t="s">
        <v>6</v>
      </c>
      <c r="G28" s="7" t="s">
        <v>9</v>
      </c>
      <c r="H28" s="7" t="s">
        <v>16</v>
      </c>
      <c r="I28" s="7" t="s">
        <v>14</v>
      </c>
      <c r="J28" s="7" t="s">
        <v>15</v>
      </c>
      <c r="K28" s="15"/>
    </row>
    <row r="29" spans="1:12" x14ac:dyDescent="0.25">
      <c r="B29" s="8" t="s">
        <v>26</v>
      </c>
      <c r="C29" s="9">
        <v>0.65</v>
      </c>
      <c r="D29" s="10">
        <v>0</v>
      </c>
      <c r="E29" s="11">
        <f>C29*D29</f>
        <v>0</v>
      </c>
      <c r="G29" s="20">
        <v>5</v>
      </c>
      <c r="H29" s="9">
        <f>$C$24/60</f>
        <v>0.30145353532124547</v>
      </c>
      <c r="I29" s="9">
        <f>H36*(H29+I36)^(J36)</f>
        <v>5.2290371309082415</v>
      </c>
      <c r="J29" s="14">
        <f>$C$14*I29*$C$15</f>
        <v>2.4971951659259095</v>
      </c>
    </row>
    <row r="30" spans="1:12" x14ac:dyDescent="0.25">
      <c r="B30" s="8" t="s">
        <v>1</v>
      </c>
      <c r="C30" s="9">
        <v>0.95</v>
      </c>
      <c r="D30" s="10">
        <v>6499.63</v>
      </c>
      <c r="E30" s="11">
        <f t="shared" ref="E30:E33" si="4">C30*D30</f>
        <v>6174.6485000000002</v>
      </c>
      <c r="G30" s="20">
        <v>10</v>
      </c>
      <c r="H30" s="9">
        <f>$C$24/60</f>
        <v>0.30145353532124547</v>
      </c>
      <c r="I30" s="9">
        <f t="shared" ref="I30:I32" si="5">H37*(H30+I37)^(J37)</f>
        <v>5.7435679557811019</v>
      </c>
      <c r="J30" s="14">
        <f>$C$14*I30*$C$15</f>
        <v>2.7429161000913171</v>
      </c>
    </row>
    <row r="31" spans="1:12" x14ac:dyDescent="0.25">
      <c r="B31" s="8" t="s">
        <v>3</v>
      </c>
      <c r="C31" s="9">
        <v>0.85</v>
      </c>
      <c r="D31" s="10">
        <v>0</v>
      </c>
      <c r="E31" s="11">
        <f t="shared" si="4"/>
        <v>0</v>
      </c>
      <c r="G31" s="20">
        <v>25</v>
      </c>
      <c r="H31" s="9">
        <f t="shared" ref="H31:H32" si="6">$C$24/60</f>
        <v>0.30145353532124547</v>
      </c>
      <c r="I31" s="9">
        <f t="shared" si="5"/>
        <v>6.5230491992500585</v>
      </c>
      <c r="J31" s="14">
        <f t="shared" ref="J31:J32" si="7">$C$14*I31*$C$15</f>
        <v>3.1151675766805647</v>
      </c>
    </row>
    <row r="32" spans="1:12" x14ac:dyDescent="0.25">
      <c r="B32" s="8" t="s">
        <v>36</v>
      </c>
      <c r="C32" s="9">
        <v>0.95</v>
      </c>
      <c r="D32" s="10">
        <v>0</v>
      </c>
      <c r="E32" s="11">
        <f t="shared" si="4"/>
        <v>0</v>
      </c>
      <c r="G32" s="20">
        <v>100</v>
      </c>
      <c r="H32" s="9">
        <f t="shared" si="6"/>
        <v>0.30145353532124547</v>
      </c>
      <c r="I32" s="9">
        <f t="shared" si="5"/>
        <v>7.7409516672256826</v>
      </c>
      <c r="J32" s="14">
        <f t="shared" si="7"/>
        <v>3.6967928509822041</v>
      </c>
    </row>
    <row r="33" spans="2:17" x14ac:dyDescent="0.25">
      <c r="B33" s="8" t="s">
        <v>2</v>
      </c>
      <c r="C33" s="9">
        <v>0.3</v>
      </c>
      <c r="D33" s="10">
        <f>D34-D30</f>
        <v>44738.25</v>
      </c>
      <c r="E33" s="11">
        <f t="shared" si="4"/>
        <v>13421.475</v>
      </c>
      <c r="G33" s="23"/>
      <c r="I33" s="3"/>
      <c r="J33" s="19"/>
    </row>
    <row r="34" spans="2:17" ht="17.25" x14ac:dyDescent="0.25">
      <c r="B34" s="12" t="s">
        <v>7</v>
      </c>
      <c r="C34" s="12"/>
      <c r="D34" s="13">
        <v>51237.88</v>
      </c>
      <c r="E34" s="13">
        <f>SUM(E29:E33)</f>
        <v>19596.123500000002</v>
      </c>
      <c r="G34" s="45" t="s">
        <v>35</v>
      </c>
      <c r="H34" s="45"/>
      <c r="I34" s="45"/>
      <c r="J34" s="45"/>
    </row>
    <row r="35" spans="2:17" x14ac:dyDescent="0.25">
      <c r="G35" s="23"/>
      <c r="H35" s="15" t="s">
        <v>28</v>
      </c>
      <c r="I35" s="28" t="s">
        <v>29</v>
      </c>
      <c r="J35" s="29" t="s">
        <v>30</v>
      </c>
    </row>
    <row r="36" spans="2:17" x14ac:dyDescent="0.25">
      <c r="B36" s="4" t="s">
        <v>8</v>
      </c>
      <c r="C36" s="5">
        <f>E34</f>
        <v>19596.123500000002</v>
      </c>
      <c r="G36" s="27" t="s">
        <v>31</v>
      </c>
      <c r="H36">
        <v>3.536</v>
      </c>
      <c r="I36" s="25">
        <v>0.33</v>
      </c>
      <c r="J36" s="26">
        <v>-0.85099999999999998</v>
      </c>
    </row>
    <row r="37" spans="2:17" x14ac:dyDescent="0.25">
      <c r="B37" s="4"/>
      <c r="C37" s="1">
        <f>D34</f>
        <v>51237.88</v>
      </c>
      <c r="G37" s="27" t="s">
        <v>32</v>
      </c>
      <c r="H37">
        <v>4.016</v>
      </c>
      <c r="I37" s="25">
        <v>0.34699999999999998</v>
      </c>
      <c r="J37" s="26">
        <v>-0.82599999999999996</v>
      </c>
      <c r="Q37">
        <v>0.70389999999999997</v>
      </c>
    </row>
    <row r="38" spans="2:17" x14ac:dyDescent="0.25">
      <c r="B38" s="4"/>
      <c r="G38" s="2" t="s">
        <v>34</v>
      </c>
      <c r="H38">
        <v>4.6109999999999998</v>
      </c>
      <c r="I38">
        <v>0.34599999999999997</v>
      </c>
      <c r="J38" s="26">
        <v>-0.79800000000000004</v>
      </c>
      <c r="Q38">
        <v>0.39169999999999999</v>
      </c>
    </row>
    <row r="39" spans="2:17" x14ac:dyDescent="0.25">
      <c r="B39" s="4" t="s">
        <v>8</v>
      </c>
      <c r="C39" s="18">
        <f>E34/D34</f>
        <v>0.38245383103282188</v>
      </c>
      <c r="G39" s="27" t="s">
        <v>33</v>
      </c>
      <c r="H39">
        <v>5.4870000000000001</v>
      </c>
      <c r="I39">
        <v>0.33400000000000002</v>
      </c>
      <c r="J39" s="26">
        <v>-0.75900000000000001</v>
      </c>
      <c r="Q39">
        <v>-1.1309</v>
      </c>
    </row>
    <row r="40" spans="2:17" x14ac:dyDescent="0.25">
      <c r="B40" s="4" t="s">
        <v>10</v>
      </c>
      <c r="C40" s="19">
        <f>D34/43560</f>
        <v>1.1762598714416896</v>
      </c>
      <c r="D40" t="s">
        <v>11</v>
      </c>
      <c r="Q40">
        <v>-0.19850000000000001</v>
      </c>
    </row>
    <row r="41" spans="2:17" x14ac:dyDescent="0.25">
      <c r="B41" s="4"/>
    </row>
    <row r="42" spans="2:17" x14ac:dyDescent="0.25">
      <c r="B42" s="16" t="s">
        <v>12</v>
      </c>
      <c r="C42" s="2" t="s">
        <v>13</v>
      </c>
    </row>
    <row r="43" spans="2:17" x14ac:dyDescent="0.25">
      <c r="B43" s="4"/>
    </row>
    <row r="44" spans="2:17" ht="17.25" x14ac:dyDescent="0.25">
      <c r="B44" s="16" t="s">
        <v>17</v>
      </c>
      <c r="C44" s="2" t="s">
        <v>21</v>
      </c>
      <c r="D44" s="2"/>
    </row>
    <row r="45" spans="2:17" x14ac:dyDescent="0.25">
      <c r="B45" s="4"/>
    </row>
    <row r="46" spans="2:17" x14ac:dyDescent="0.25">
      <c r="B46" s="4" t="s">
        <v>18</v>
      </c>
      <c r="C46">
        <v>315.77999999999997</v>
      </c>
      <c r="D46" t="s">
        <v>19</v>
      </c>
      <c r="E46" t="s">
        <v>27</v>
      </c>
      <c r="F46" s="24">
        <v>1.8</v>
      </c>
    </row>
    <row r="47" spans="2:17" x14ac:dyDescent="0.25">
      <c r="B47" s="4" t="s">
        <v>20</v>
      </c>
      <c r="C47" s="3">
        <f>(F46/C46)*100</f>
        <v>0.57001710051301546</v>
      </c>
      <c r="D47" t="s">
        <v>25</v>
      </c>
    </row>
    <row r="48" spans="2:17" x14ac:dyDescent="0.25">
      <c r="B48" s="4"/>
    </row>
    <row r="49" spans="1:12" x14ac:dyDescent="0.25">
      <c r="B49" s="16" t="s">
        <v>24</v>
      </c>
      <c r="C49" s="17">
        <f>(Q37*(C46^(Q38))*(C39^(Q39))*(C47^(Q40)))</f>
        <v>22.235022187892461</v>
      </c>
      <c r="D49" s="2" t="s">
        <v>23</v>
      </c>
    </row>
    <row r="50" spans="1:12" x14ac:dyDescent="0.25">
      <c r="A50" s="32"/>
      <c r="B50" s="33"/>
      <c r="C50" s="34"/>
      <c r="D50" s="35"/>
      <c r="E50" s="32"/>
      <c r="F50" s="32"/>
      <c r="G50" s="32"/>
      <c r="H50" s="32"/>
      <c r="I50" s="32"/>
      <c r="J50" s="32"/>
      <c r="K50" s="32"/>
      <c r="L50" s="32"/>
    </row>
    <row r="51" spans="1:12" ht="23.25" x14ac:dyDescent="0.35">
      <c r="A51" s="38"/>
    </row>
    <row r="52" spans="1:12" x14ac:dyDescent="0.25">
      <c r="A52" s="41"/>
      <c r="B52" s="2"/>
      <c r="C52" s="2"/>
      <c r="D52" s="2"/>
      <c r="E52" s="2"/>
      <c r="G52" s="47"/>
      <c r="H52" s="47"/>
      <c r="I52" s="47"/>
      <c r="J52" s="47"/>
    </row>
    <row r="53" spans="1:12" x14ac:dyDescent="0.25">
      <c r="B53" s="15"/>
      <c r="C53" s="21"/>
      <c r="D53" s="15"/>
      <c r="E53" s="15"/>
      <c r="G53" s="21"/>
      <c r="H53" s="21"/>
      <c r="I53" s="21"/>
      <c r="J53" s="21"/>
      <c r="K53" s="15"/>
    </row>
    <row r="54" spans="1:12" x14ac:dyDescent="0.25">
      <c r="C54" s="18"/>
      <c r="D54" s="30"/>
      <c r="E54" s="1"/>
      <c r="G54" s="22"/>
      <c r="H54" s="18"/>
      <c r="I54" s="18"/>
      <c r="J54" s="19"/>
    </row>
    <row r="55" spans="1:12" x14ac:dyDescent="0.25">
      <c r="C55" s="18"/>
      <c r="D55" s="30"/>
      <c r="E55" s="1"/>
      <c r="G55" s="22"/>
      <c r="H55" s="18"/>
      <c r="I55" s="18"/>
      <c r="J55" s="19"/>
    </row>
    <row r="56" spans="1:12" x14ac:dyDescent="0.25">
      <c r="C56" s="18"/>
      <c r="D56" s="30"/>
      <c r="E56" s="1"/>
      <c r="G56" s="22"/>
      <c r="H56" s="18"/>
      <c r="I56" s="18"/>
      <c r="J56" s="19"/>
    </row>
    <row r="57" spans="1:12" x14ac:dyDescent="0.25">
      <c r="C57" s="18"/>
      <c r="D57" s="30"/>
      <c r="E57" s="1"/>
      <c r="G57" s="22"/>
      <c r="H57" s="18"/>
      <c r="I57" s="18"/>
      <c r="J57" s="19"/>
    </row>
    <row r="58" spans="1:12" x14ac:dyDescent="0.25">
      <c r="C58" s="18"/>
      <c r="D58" s="30"/>
      <c r="E58" s="1"/>
      <c r="G58" s="23"/>
      <c r="I58" s="3"/>
      <c r="J58" s="19"/>
    </row>
    <row r="59" spans="1:12" x14ac:dyDescent="0.25">
      <c r="B59" s="2"/>
      <c r="C59" s="2"/>
      <c r="D59" s="31"/>
      <c r="E59" s="31"/>
      <c r="G59" s="45"/>
      <c r="H59" s="45"/>
      <c r="I59" s="45"/>
      <c r="J59" s="45"/>
    </row>
    <row r="60" spans="1:12" x14ac:dyDescent="0.25">
      <c r="G60" s="23"/>
      <c r="H60" s="15"/>
      <c r="I60" s="28"/>
      <c r="J60" s="29"/>
    </row>
    <row r="61" spans="1:12" x14ac:dyDescent="0.25">
      <c r="B61" s="4"/>
      <c r="C61" s="30"/>
      <c r="G61" s="27"/>
      <c r="I61" s="25"/>
      <c r="J61" s="42"/>
    </row>
    <row r="62" spans="1:12" x14ac:dyDescent="0.25">
      <c r="B62" s="4"/>
      <c r="C62" s="1"/>
      <c r="G62" s="27"/>
      <c r="I62" s="25"/>
      <c r="J62" s="42"/>
    </row>
    <row r="63" spans="1:12" x14ac:dyDescent="0.25">
      <c r="B63" s="4"/>
      <c r="G63" s="2"/>
      <c r="J63" s="26"/>
    </row>
    <row r="64" spans="1:12" x14ac:dyDescent="0.25">
      <c r="B64" s="4"/>
      <c r="C64" s="18"/>
      <c r="G64" s="27"/>
      <c r="J64" s="26"/>
    </row>
    <row r="65" spans="2:6" x14ac:dyDescent="0.25">
      <c r="B65" s="4"/>
      <c r="C65" s="19"/>
    </row>
    <row r="66" spans="2:6" x14ac:dyDescent="0.25">
      <c r="B66" s="4"/>
    </row>
    <row r="67" spans="2:6" x14ac:dyDescent="0.25">
      <c r="B67" s="16"/>
      <c r="C67" s="2"/>
    </row>
    <row r="68" spans="2:6" x14ac:dyDescent="0.25">
      <c r="B68" s="4"/>
    </row>
    <row r="69" spans="2:6" x14ac:dyDescent="0.25">
      <c r="B69" s="16"/>
      <c r="C69" s="2"/>
      <c r="D69" s="2"/>
    </row>
    <row r="70" spans="2:6" x14ac:dyDescent="0.25">
      <c r="B70" s="4"/>
    </row>
    <row r="71" spans="2:6" x14ac:dyDescent="0.25">
      <c r="B71" s="4"/>
      <c r="F71" s="24"/>
    </row>
    <row r="72" spans="2:6" x14ac:dyDescent="0.25">
      <c r="B72" s="4"/>
      <c r="C72" s="3"/>
    </row>
    <row r="73" spans="2:6" x14ac:dyDescent="0.25">
      <c r="B73" s="4"/>
    </row>
    <row r="74" spans="2:6" x14ac:dyDescent="0.25">
      <c r="B74" s="16"/>
      <c r="C74" s="17"/>
      <c r="D74" s="2"/>
    </row>
  </sheetData>
  <mergeCells count="8">
    <mergeCell ref="B2:E2"/>
    <mergeCell ref="G2:J2"/>
    <mergeCell ref="G9:J9"/>
    <mergeCell ref="G59:J59"/>
    <mergeCell ref="B27:E27"/>
    <mergeCell ref="G27:J27"/>
    <mergeCell ref="G34:J34"/>
    <mergeCell ref="G52:J52"/>
  </mergeCells>
  <phoneticPr fontId="6" type="noConversion"/>
  <pageMargins left="0.7" right="0.7" top="0.75" bottom="0.75" header="0.3" footer="0.3"/>
  <pageSetup fitToHeight="0" orientation="portrait" r:id="rId1"/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46EF-B311-4B91-992E-87F728BB379A}">
  <sheetPr>
    <tabColor theme="9" tint="0.59999389629810485"/>
    <pageSetUpPr fitToPage="1"/>
  </sheetPr>
  <dimension ref="A1:Q78"/>
  <sheetViews>
    <sheetView topLeftCell="A25" zoomScaleNormal="100" zoomScaleSheetLayoutView="100" workbookViewId="0">
      <selection activeCell="E52" sqref="E52"/>
    </sheetView>
  </sheetViews>
  <sheetFormatPr defaultRowHeight="15" x14ac:dyDescent="0.25"/>
  <cols>
    <col min="1" max="1" width="10.7109375" customWidth="1"/>
    <col min="2" max="2" width="24.7109375" customWidth="1"/>
    <col min="3" max="5" width="12.7109375" customWidth="1"/>
    <col min="7" max="11" width="12.7109375" customWidth="1"/>
    <col min="12" max="12" width="11.7109375" bestFit="1" customWidth="1"/>
  </cols>
  <sheetData>
    <row r="1" spans="1:17" ht="23.25" x14ac:dyDescent="0.35">
      <c r="A1" s="48" t="s">
        <v>54</v>
      </c>
      <c r="B1" s="48"/>
      <c r="C1" s="43" t="s">
        <v>62</v>
      </c>
    </row>
    <row r="2" spans="1:17" x14ac:dyDescent="0.25">
      <c r="B2" s="46" t="s">
        <v>40</v>
      </c>
      <c r="C2" s="46"/>
      <c r="D2" s="46"/>
      <c r="E2" s="46"/>
      <c r="G2" s="46" t="s">
        <v>41</v>
      </c>
      <c r="H2" s="46"/>
      <c r="I2" s="46"/>
      <c r="J2" s="46"/>
    </row>
    <row r="3" spans="1:17" ht="45" x14ac:dyDescent="0.25">
      <c r="B3" s="6" t="s">
        <v>0</v>
      </c>
      <c r="C3" s="7" t="s">
        <v>4</v>
      </c>
      <c r="D3" s="6" t="s">
        <v>5</v>
      </c>
      <c r="E3" s="6" t="s">
        <v>6</v>
      </c>
      <c r="G3" s="7" t="s">
        <v>9</v>
      </c>
      <c r="H3" s="7" t="s">
        <v>16</v>
      </c>
      <c r="I3" s="7" t="s">
        <v>14</v>
      </c>
      <c r="J3" s="7" t="s">
        <v>15</v>
      </c>
      <c r="K3" s="15"/>
    </row>
    <row r="4" spans="1:17" x14ac:dyDescent="0.25">
      <c r="B4" s="8" t="s">
        <v>44</v>
      </c>
      <c r="C4" s="9">
        <v>0.95</v>
      </c>
      <c r="D4" s="10">
        <v>17427.48</v>
      </c>
      <c r="E4" s="11">
        <f>C4*D4</f>
        <v>16556.106</v>
      </c>
      <c r="G4" s="20">
        <v>5</v>
      </c>
      <c r="H4" s="9">
        <f>$C$25/60</f>
        <v>0.25945531565646673</v>
      </c>
      <c r="I4" s="9">
        <f>H11*(H4+I11)^(J11)</f>
        <v>5.544451007205601</v>
      </c>
      <c r="J4" s="14">
        <f>$C$14*I4*$C$15</f>
        <v>2.9385586519697253</v>
      </c>
    </row>
    <row r="5" spans="1:17" x14ac:dyDescent="0.25">
      <c r="B5" s="8" t="s">
        <v>43</v>
      </c>
      <c r="C5" s="9">
        <v>0.8</v>
      </c>
      <c r="D5" s="10"/>
      <c r="E5" s="11">
        <f t="shared" ref="E5:E8" si="0">C5*D5</f>
        <v>0</v>
      </c>
      <c r="G5" s="20">
        <v>10</v>
      </c>
      <c r="H5" s="9">
        <f>$C$25/60</f>
        <v>0.25945531565646673</v>
      </c>
      <c r="I5" s="9">
        <f t="shared" ref="I5:I7" si="1">H12*(H5+I12)^(J12)</f>
        <v>6.070184473289828</v>
      </c>
      <c r="J5" s="14">
        <f>$C$14*I5*$C$15</f>
        <v>3.2171973527868269</v>
      </c>
    </row>
    <row r="6" spans="1:17" x14ac:dyDescent="0.25">
      <c r="B6" s="8" t="s">
        <v>38</v>
      </c>
      <c r="C6" s="9">
        <v>0.85</v>
      </c>
      <c r="D6" s="10">
        <v>0</v>
      </c>
      <c r="E6" s="11">
        <f t="shared" si="0"/>
        <v>0</v>
      </c>
      <c r="G6" s="20">
        <v>25</v>
      </c>
      <c r="H6" s="9">
        <f t="shared" ref="H6:H7" si="2">$C$25/60</f>
        <v>0.25945531565646673</v>
      </c>
      <c r="I6" s="9">
        <f t="shared" si="1"/>
        <v>6.8816662980545145</v>
      </c>
      <c r="J6" s="14">
        <f t="shared" ref="J6:J7" si="3">$C$14*I6*$C$15</f>
        <v>3.6472826640249325</v>
      </c>
    </row>
    <row r="7" spans="1:17" x14ac:dyDescent="0.25">
      <c r="B7" s="8" t="s">
        <v>36</v>
      </c>
      <c r="C7" s="9">
        <v>0.95</v>
      </c>
      <c r="D7" s="10">
        <v>0</v>
      </c>
      <c r="E7" s="11">
        <f t="shared" si="0"/>
        <v>0</v>
      </c>
      <c r="G7" s="20">
        <v>100</v>
      </c>
      <c r="H7" s="9">
        <f t="shared" si="2"/>
        <v>0.25945531565646673</v>
      </c>
      <c r="I7" s="9">
        <f t="shared" si="1"/>
        <v>8.1533005136543704</v>
      </c>
      <c r="J7" s="14">
        <f t="shared" si="3"/>
        <v>4.3212487107147419</v>
      </c>
    </row>
    <row r="8" spans="1:17" x14ac:dyDescent="0.25">
      <c r="B8" s="8" t="s">
        <v>2</v>
      </c>
      <c r="C8" s="9">
        <v>0.3</v>
      </c>
      <c r="D8" s="10">
        <f>D9-D4</f>
        <v>21768.969999999998</v>
      </c>
      <c r="E8" s="11">
        <f t="shared" si="0"/>
        <v>6530.6909999999989</v>
      </c>
      <c r="G8" s="23"/>
      <c r="I8" s="3"/>
      <c r="J8" s="19"/>
    </row>
    <row r="9" spans="1:17" ht="17.25" x14ac:dyDescent="0.25">
      <c r="B9" s="12" t="s">
        <v>7</v>
      </c>
      <c r="C9" s="12"/>
      <c r="D9" s="13">
        <v>39196.449999999997</v>
      </c>
      <c r="E9" s="13">
        <f>SUM(E4:E8)</f>
        <v>23086.796999999999</v>
      </c>
      <c r="G9" s="45" t="s">
        <v>35</v>
      </c>
      <c r="H9" s="45"/>
      <c r="I9" s="45"/>
      <c r="J9" s="45"/>
    </row>
    <row r="10" spans="1:17" x14ac:dyDescent="0.25">
      <c r="G10" s="23"/>
      <c r="H10" s="15" t="s">
        <v>28</v>
      </c>
      <c r="I10" s="28" t="s">
        <v>29</v>
      </c>
      <c r="J10" s="29" t="s">
        <v>30</v>
      </c>
    </row>
    <row r="11" spans="1:17" x14ac:dyDescent="0.25">
      <c r="B11" s="4" t="s">
        <v>39</v>
      </c>
      <c r="C11" s="5">
        <f>E9</f>
        <v>23086.796999999999</v>
      </c>
      <c r="G11" s="27" t="s">
        <v>31</v>
      </c>
      <c r="H11">
        <v>3.536</v>
      </c>
      <c r="I11" s="25">
        <v>0.33</v>
      </c>
      <c r="J11" s="26">
        <v>-0.85099999999999998</v>
      </c>
    </row>
    <row r="12" spans="1:17" x14ac:dyDescent="0.25">
      <c r="B12" s="4"/>
      <c r="C12" s="1">
        <f>D9</f>
        <v>39196.449999999997</v>
      </c>
      <c r="G12" s="27" t="s">
        <v>32</v>
      </c>
      <c r="H12">
        <v>4.016</v>
      </c>
      <c r="I12" s="25">
        <v>0.34699999999999998</v>
      </c>
      <c r="J12" s="26">
        <v>-0.82599999999999996</v>
      </c>
      <c r="Q12">
        <v>0.70389999999999997</v>
      </c>
    </row>
    <row r="13" spans="1:17" x14ac:dyDescent="0.25">
      <c r="B13" s="4"/>
      <c r="G13" s="2" t="s">
        <v>34</v>
      </c>
      <c r="H13">
        <v>4.6109999999999998</v>
      </c>
      <c r="I13">
        <v>0.34599999999999997</v>
      </c>
      <c r="J13" s="26">
        <v>-0.79800000000000004</v>
      </c>
      <c r="Q13">
        <v>0.39169999999999999</v>
      </c>
    </row>
    <row r="14" spans="1:17" x14ac:dyDescent="0.25">
      <c r="B14" s="4" t="s">
        <v>39</v>
      </c>
      <c r="C14" s="18">
        <f>E9/D9</f>
        <v>0.58900224382565258</v>
      </c>
      <c r="G14" s="27" t="s">
        <v>33</v>
      </c>
      <c r="H14">
        <v>5.4870000000000001</v>
      </c>
      <c r="I14">
        <v>0.33400000000000002</v>
      </c>
      <c r="J14" s="26">
        <v>-0.75900000000000001</v>
      </c>
      <c r="Q14">
        <v>-1.1309</v>
      </c>
    </row>
    <row r="15" spans="1:17" x14ac:dyDescent="0.25">
      <c r="B15" s="4" t="s">
        <v>10</v>
      </c>
      <c r="C15" s="19">
        <f>D9/43560</f>
        <v>0.89982667584940301</v>
      </c>
      <c r="D15" t="s">
        <v>11</v>
      </c>
      <c r="Q15">
        <v>-0.19850000000000001</v>
      </c>
    </row>
    <row r="16" spans="1:17" x14ac:dyDescent="0.25">
      <c r="B16" s="4"/>
    </row>
    <row r="17" spans="1:13" x14ac:dyDescent="0.25">
      <c r="B17" s="16" t="s">
        <v>12</v>
      </c>
      <c r="C17" s="2" t="s">
        <v>13</v>
      </c>
    </row>
    <row r="18" spans="1:13" x14ac:dyDescent="0.25">
      <c r="B18" s="4"/>
      <c r="J18" t="s">
        <v>68</v>
      </c>
      <c r="K18" s="49">
        <f>(1.49*(K23^2/3)*(K24^1/2))/K25</f>
        <v>3.8366981114002901E-4</v>
      </c>
      <c r="L18" t="s">
        <v>77</v>
      </c>
    </row>
    <row r="19" spans="1:13" ht="17.25" x14ac:dyDescent="0.25">
      <c r="B19" s="16" t="s">
        <v>17</v>
      </c>
      <c r="C19" s="2" t="s">
        <v>21</v>
      </c>
      <c r="D19" s="2"/>
    </row>
    <row r="20" spans="1:13" x14ac:dyDescent="0.25">
      <c r="B20" s="4"/>
    </row>
    <row r="21" spans="1:13" x14ac:dyDescent="0.25">
      <c r="B21" s="4" t="s">
        <v>18</v>
      </c>
      <c r="C21">
        <v>334.56</v>
      </c>
      <c r="D21" t="s">
        <v>19</v>
      </c>
      <c r="E21" t="s">
        <v>27</v>
      </c>
      <c r="F21" s="24">
        <v>1.1000000000000001</v>
      </c>
      <c r="J21" t="s">
        <v>78</v>
      </c>
      <c r="K21">
        <f>1.047</f>
        <v>1.0469999999999999</v>
      </c>
      <c r="L21" s="51" t="s">
        <v>76</v>
      </c>
    </row>
    <row r="22" spans="1:13" x14ac:dyDescent="0.25">
      <c r="B22" s="4" t="s">
        <v>20</v>
      </c>
      <c r="C22" s="3">
        <f>(F21/C21)*100</f>
        <v>0.32879005260640848</v>
      </c>
      <c r="D22" t="s">
        <v>25</v>
      </c>
      <c r="J22" t="s">
        <v>28</v>
      </c>
      <c r="K22">
        <v>8.7300000000000003E-2</v>
      </c>
      <c r="L22" s="51" t="s">
        <v>79</v>
      </c>
    </row>
    <row r="23" spans="1:13" x14ac:dyDescent="0.25">
      <c r="B23" s="4"/>
      <c r="J23" t="s">
        <v>69</v>
      </c>
      <c r="K23" s="50">
        <f>K22/K21</f>
        <v>8.3381088825214902E-2</v>
      </c>
      <c r="L23" s="51" t="s">
        <v>75</v>
      </c>
    </row>
    <row r="24" spans="1:13" x14ac:dyDescent="0.25">
      <c r="B24" s="16" t="s">
        <v>66</v>
      </c>
      <c r="C24" s="17">
        <f>(K26)/(K18*3600)</f>
        <v>8.688026100955744</v>
      </c>
      <c r="D24" s="2" t="s">
        <v>23</v>
      </c>
      <c r="J24" t="s">
        <v>70</v>
      </c>
      <c r="K24">
        <v>2E-3</v>
      </c>
      <c r="L24" s="51" t="s">
        <v>73</v>
      </c>
    </row>
    <row r="25" spans="1:13" x14ac:dyDescent="0.25">
      <c r="B25" s="16" t="s">
        <v>42</v>
      </c>
      <c r="C25" s="17">
        <f>(Q12*(C21^(Q13))*(C14^(Q14))*(C22^(Q15)))</f>
        <v>15.567318939388004</v>
      </c>
      <c r="D25" s="2" t="s">
        <v>23</v>
      </c>
      <c r="E25" t="s">
        <v>65</v>
      </c>
      <c r="J25" t="s">
        <v>71</v>
      </c>
      <c r="K25">
        <v>8.9999999999999993E-3</v>
      </c>
      <c r="L25" s="51" t="s">
        <v>74</v>
      </c>
      <c r="M25" t="s">
        <v>80</v>
      </c>
    </row>
    <row r="26" spans="1:13" x14ac:dyDescent="0.25">
      <c r="B26" s="16" t="s">
        <v>67</v>
      </c>
      <c r="C26" s="17">
        <f>C25+C24</f>
        <v>24.255345040343748</v>
      </c>
      <c r="D26" s="2" t="s">
        <v>23</v>
      </c>
      <c r="J26" t="s">
        <v>72</v>
      </c>
      <c r="K26">
        <v>12</v>
      </c>
      <c r="L26" s="51" t="s">
        <v>19</v>
      </c>
    </row>
    <row r="27" spans="1:13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13" ht="23.25" x14ac:dyDescent="0.35">
      <c r="A28" s="48" t="s">
        <v>55</v>
      </c>
      <c r="B28" s="48"/>
      <c r="C28" s="43" t="s">
        <v>61</v>
      </c>
    </row>
    <row r="29" spans="1:13" x14ac:dyDescent="0.25">
      <c r="B29" s="46" t="s">
        <v>40</v>
      </c>
      <c r="C29" s="46"/>
      <c r="D29" s="46"/>
      <c r="E29" s="46"/>
      <c r="G29" s="46" t="s">
        <v>41</v>
      </c>
      <c r="H29" s="46"/>
      <c r="I29" s="46"/>
      <c r="J29" s="46"/>
    </row>
    <row r="30" spans="1:13" ht="45" x14ac:dyDescent="0.25">
      <c r="B30" s="6" t="s">
        <v>0</v>
      </c>
      <c r="C30" s="7" t="s">
        <v>4</v>
      </c>
      <c r="D30" s="6" t="s">
        <v>5</v>
      </c>
      <c r="E30" s="6" t="s">
        <v>6</v>
      </c>
      <c r="G30" s="7" t="s">
        <v>9</v>
      </c>
      <c r="H30" s="7" t="s">
        <v>16</v>
      </c>
      <c r="I30" s="7" t="s">
        <v>14</v>
      </c>
      <c r="J30" s="7" t="s">
        <v>15</v>
      </c>
      <c r="K30" s="15"/>
    </row>
    <row r="31" spans="1:13" x14ac:dyDescent="0.25">
      <c r="B31" s="8" t="s">
        <v>44</v>
      </c>
      <c r="C31" s="9">
        <v>0.95</v>
      </c>
      <c r="D31" s="10">
        <v>10828.91</v>
      </c>
      <c r="E31" s="11">
        <f>C31*D31</f>
        <v>10287.4645</v>
      </c>
      <c r="G31" s="20">
        <v>5</v>
      </c>
      <c r="H31" s="9">
        <f>$C$25/60</f>
        <v>0.25945531565646673</v>
      </c>
      <c r="I31" s="9">
        <f>H38*(H31+I38)^(J38)</f>
        <v>5.544451007205601</v>
      </c>
      <c r="J31" s="14">
        <f>$C$14*I31*$C$15</f>
        <v>2.9385586519697253</v>
      </c>
    </row>
    <row r="32" spans="1:13" x14ac:dyDescent="0.25">
      <c r="B32" s="8" t="s">
        <v>43</v>
      </c>
      <c r="C32" s="9">
        <v>0.8</v>
      </c>
      <c r="D32" s="10"/>
      <c r="E32" s="11">
        <f t="shared" ref="E32:E35" si="4">C32*D32</f>
        <v>0</v>
      </c>
      <c r="G32" s="20">
        <v>10</v>
      </c>
      <c r="H32" s="9">
        <f>$C$25/60</f>
        <v>0.25945531565646673</v>
      </c>
      <c r="I32" s="9">
        <f t="shared" ref="I32:I34" si="5">H39*(H32+I39)^(J39)</f>
        <v>6.070184473289828</v>
      </c>
      <c r="J32" s="14">
        <f>$C$14*I32*$C$15</f>
        <v>3.2171973527868269</v>
      </c>
    </row>
    <row r="33" spans="2:17" x14ac:dyDescent="0.25">
      <c r="B33" s="8" t="s">
        <v>38</v>
      </c>
      <c r="C33" s="9">
        <v>0.85</v>
      </c>
      <c r="D33" s="10">
        <v>2060.259</v>
      </c>
      <c r="E33" s="11">
        <f t="shared" si="4"/>
        <v>1751.2201499999999</v>
      </c>
      <c r="G33" s="20">
        <v>25</v>
      </c>
      <c r="H33" s="9">
        <f t="shared" ref="H33:H34" si="6">$C$25/60</f>
        <v>0.25945531565646673</v>
      </c>
      <c r="I33" s="9">
        <f t="shared" si="5"/>
        <v>6.8816662980545145</v>
      </c>
      <c r="J33" s="14">
        <f t="shared" ref="J33:J34" si="7">$C$14*I33*$C$15</f>
        <v>3.6472826640249325</v>
      </c>
    </row>
    <row r="34" spans="2:17" x14ac:dyDescent="0.25">
      <c r="B34" s="8" t="s">
        <v>36</v>
      </c>
      <c r="C34" s="9">
        <v>0.95</v>
      </c>
      <c r="D34" s="10">
        <v>0</v>
      </c>
      <c r="E34" s="11">
        <f t="shared" si="4"/>
        <v>0</v>
      </c>
      <c r="G34" s="20">
        <v>100</v>
      </c>
      <c r="H34" s="9">
        <f t="shared" si="6"/>
        <v>0.25945531565646673</v>
      </c>
      <c r="I34" s="9">
        <f t="shared" si="5"/>
        <v>8.1533005136543704</v>
      </c>
      <c r="J34" s="14">
        <f t="shared" si="7"/>
        <v>4.3212487107147419</v>
      </c>
    </row>
    <row r="35" spans="2:17" x14ac:dyDescent="0.25">
      <c r="B35" s="8" t="s">
        <v>2</v>
      </c>
      <c r="C35" s="9">
        <v>0.3</v>
      </c>
      <c r="D35" s="10">
        <f>D36-D31-D33</f>
        <v>38348.711000000003</v>
      </c>
      <c r="E35" s="11">
        <f t="shared" si="4"/>
        <v>11504.613300000001</v>
      </c>
      <c r="G35" s="23"/>
      <c r="I35" s="3"/>
      <c r="J35" s="19"/>
    </row>
    <row r="36" spans="2:17" ht="17.25" x14ac:dyDescent="0.25">
      <c r="B36" s="12" t="s">
        <v>7</v>
      </c>
      <c r="C36" s="12"/>
      <c r="D36" s="13">
        <v>51237.88</v>
      </c>
      <c r="E36" s="13">
        <f>SUM(E31:E35)</f>
        <v>23543.29795</v>
      </c>
      <c r="G36" s="45" t="s">
        <v>35</v>
      </c>
      <c r="H36" s="45"/>
      <c r="I36" s="45"/>
      <c r="J36" s="45"/>
    </row>
    <row r="37" spans="2:17" x14ac:dyDescent="0.25">
      <c r="G37" s="23"/>
      <c r="H37" s="15" t="s">
        <v>28</v>
      </c>
      <c r="I37" s="28" t="s">
        <v>29</v>
      </c>
      <c r="J37" s="29" t="s">
        <v>30</v>
      </c>
    </row>
    <row r="38" spans="2:17" x14ac:dyDescent="0.25">
      <c r="B38" s="4" t="s">
        <v>39</v>
      </c>
      <c r="C38" s="5">
        <f>E36</f>
        <v>23543.29795</v>
      </c>
      <c r="G38" s="27" t="s">
        <v>31</v>
      </c>
      <c r="H38">
        <v>3.536</v>
      </c>
      <c r="I38" s="25">
        <v>0.33</v>
      </c>
      <c r="J38" s="26">
        <v>-0.85099999999999998</v>
      </c>
    </row>
    <row r="39" spans="2:17" x14ac:dyDescent="0.25">
      <c r="B39" s="4"/>
      <c r="C39" s="1">
        <f>D36</f>
        <v>51237.88</v>
      </c>
      <c r="G39" s="27" t="s">
        <v>32</v>
      </c>
      <c r="H39">
        <v>4.016</v>
      </c>
      <c r="I39" s="25">
        <v>0.34699999999999998</v>
      </c>
      <c r="J39" s="26">
        <v>-0.82599999999999996</v>
      </c>
      <c r="Q39">
        <v>0.70389999999999997</v>
      </c>
    </row>
    <row r="40" spans="2:17" x14ac:dyDescent="0.25">
      <c r="B40" s="4"/>
      <c r="G40" s="2" t="s">
        <v>34</v>
      </c>
      <c r="H40">
        <v>4.6109999999999998</v>
      </c>
      <c r="I40">
        <v>0.34599999999999997</v>
      </c>
      <c r="J40" s="26">
        <v>-0.79800000000000004</v>
      </c>
      <c r="Q40">
        <v>0.39169999999999999</v>
      </c>
    </row>
    <row r="41" spans="2:17" x14ac:dyDescent="0.25">
      <c r="B41" s="4" t="s">
        <v>39</v>
      </c>
      <c r="C41" s="18">
        <f>E36/D36</f>
        <v>0.4594900872167233</v>
      </c>
      <c r="G41" s="27" t="s">
        <v>33</v>
      </c>
      <c r="H41">
        <v>5.4870000000000001</v>
      </c>
      <c r="I41">
        <v>0.33400000000000002</v>
      </c>
      <c r="J41" s="26">
        <v>-0.75900000000000001</v>
      </c>
      <c r="Q41">
        <v>-1.1309</v>
      </c>
    </row>
    <row r="42" spans="2:17" x14ac:dyDescent="0.25">
      <c r="B42" s="4" t="s">
        <v>10</v>
      </c>
      <c r="C42" s="19">
        <f>D36/43560</f>
        <v>1.1762598714416896</v>
      </c>
      <c r="D42" t="s">
        <v>11</v>
      </c>
      <c r="Q42">
        <v>-0.19850000000000001</v>
      </c>
    </row>
    <row r="43" spans="2:17" x14ac:dyDescent="0.25">
      <c r="B43" s="4"/>
    </row>
    <row r="44" spans="2:17" x14ac:dyDescent="0.25">
      <c r="B44" s="16" t="s">
        <v>12</v>
      </c>
      <c r="C44" s="2" t="s">
        <v>13</v>
      </c>
      <c r="J44" t="s">
        <v>68</v>
      </c>
      <c r="K44" s="49">
        <f>(1.49*(K49^2/3)*(K50^1/2))/K51</f>
        <v>3.8366981114002901E-4</v>
      </c>
      <c r="L44" t="s">
        <v>77</v>
      </c>
    </row>
    <row r="45" spans="2:17" x14ac:dyDescent="0.25">
      <c r="B45" s="4"/>
      <c r="J45" t="s">
        <v>82</v>
      </c>
    </row>
    <row r="46" spans="2:17" ht="17.25" x14ac:dyDescent="0.25">
      <c r="B46" s="16" t="s">
        <v>17</v>
      </c>
      <c r="C46" s="2" t="s">
        <v>21</v>
      </c>
      <c r="D46" s="2"/>
    </row>
    <row r="47" spans="2:17" x14ac:dyDescent="0.25">
      <c r="B47" s="4"/>
      <c r="J47" t="s">
        <v>78</v>
      </c>
      <c r="K47">
        <f>1.047</f>
        <v>1.0469999999999999</v>
      </c>
      <c r="L47" s="51" t="s">
        <v>76</v>
      </c>
    </row>
    <row r="48" spans="2:17" x14ac:dyDescent="0.25">
      <c r="B48" s="4" t="s">
        <v>18</v>
      </c>
      <c r="C48">
        <v>376.05</v>
      </c>
      <c r="D48" t="s">
        <v>19</v>
      </c>
      <c r="E48" t="s">
        <v>27</v>
      </c>
      <c r="F48" s="24">
        <v>1.9</v>
      </c>
      <c r="J48" t="s">
        <v>28</v>
      </c>
      <c r="K48">
        <v>8.7300000000000003E-2</v>
      </c>
      <c r="L48" s="51" t="s">
        <v>79</v>
      </c>
    </row>
    <row r="49" spans="1:13" x14ac:dyDescent="0.25">
      <c r="B49" s="4" t="s">
        <v>20</v>
      </c>
      <c r="C49" s="3">
        <f>(F48/C48)*100</f>
        <v>0.50525196117537552</v>
      </c>
      <c r="D49" t="s">
        <v>25</v>
      </c>
      <c r="J49" t="s">
        <v>69</v>
      </c>
      <c r="K49" s="50">
        <f>K48/K47</f>
        <v>8.3381088825214902E-2</v>
      </c>
      <c r="L49" s="51" t="s">
        <v>75</v>
      </c>
    </row>
    <row r="50" spans="1:13" x14ac:dyDescent="0.25">
      <c r="B50" s="4"/>
      <c r="J50" t="s">
        <v>70</v>
      </c>
      <c r="K50">
        <v>2E-3</v>
      </c>
      <c r="L50" s="51" t="s">
        <v>73</v>
      </c>
    </row>
    <row r="51" spans="1:13" x14ac:dyDescent="0.25">
      <c r="B51" s="4" t="s">
        <v>66</v>
      </c>
      <c r="C51" s="17">
        <f>K52/(3600*K44)</f>
        <v>8.688026100955744</v>
      </c>
      <c r="D51" s="2" t="s">
        <v>23</v>
      </c>
      <c r="J51" t="s">
        <v>71</v>
      </c>
      <c r="K51">
        <v>8.9999999999999993E-3</v>
      </c>
      <c r="L51" s="51" t="s">
        <v>74</v>
      </c>
      <c r="M51" t="s">
        <v>80</v>
      </c>
    </row>
    <row r="52" spans="1:13" x14ac:dyDescent="0.25">
      <c r="B52" s="16" t="s">
        <v>42</v>
      </c>
      <c r="C52" s="17">
        <f>(Q39*(C48^(Q40))*(C41^(Q41))*(C49^(Q42)))</f>
        <v>19.816193310822438</v>
      </c>
      <c r="D52" s="2" t="s">
        <v>23</v>
      </c>
      <c r="E52" t="s">
        <v>65</v>
      </c>
      <c r="J52" t="s">
        <v>72</v>
      </c>
      <c r="K52">
        <v>12</v>
      </c>
      <c r="L52" s="51" t="s">
        <v>19</v>
      </c>
    </row>
    <row r="53" spans="1:13" x14ac:dyDescent="0.25">
      <c r="B53" s="16" t="s">
        <v>81</v>
      </c>
      <c r="C53" s="17">
        <f>C52+C51</f>
        <v>28.50421941177818</v>
      </c>
      <c r="D53" s="2" t="s">
        <v>23</v>
      </c>
    </row>
    <row r="54" spans="1:13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3" ht="23.25" x14ac:dyDescent="0.35">
      <c r="A55" s="48"/>
      <c r="B55" s="48"/>
    </row>
    <row r="56" spans="1:13" x14ac:dyDescent="0.25">
      <c r="B56" s="47"/>
      <c r="C56" s="47"/>
      <c r="D56" s="47"/>
      <c r="E56" s="47"/>
      <c r="G56" s="47"/>
      <c r="H56" s="47"/>
      <c r="I56" s="47"/>
      <c r="J56" s="47"/>
    </row>
    <row r="57" spans="1:13" x14ac:dyDescent="0.25">
      <c r="B57" s="15"/>
      <c r="C57" s="21"/>
      <c r="D57" s="15"/>
      <c r="E57" s="15"/>
      <c r="G57" s="21"/>
      <c r="H57" s="21"/>
      <c r="I57" s="21"/>
      <c r="J57" s="21"/>
      <c r="K57" s="15"/>
    </row>
    <row r="58" spans="1:13" x14ac:dyDescent="0.25">
      <c r="C58" s="18"/>
      <c r="D58" s="30"/>
      <c r="E58" s="1"/>
      <c r="G58" s="22"/>
      <c r="H58" s="18"/>
      <c r="I58" s="18"/>
      <c r="J58" s="19"/>
    </row>
    <row r="59" spans="1:13" x14ac:dyDescent="0.25">
      <c r="C59" s="18"/>
      <c r="D59" s="30"/>
      <c r="E59" s="1"/>
      <c r="G59" s="22"/>
      <c r="H59" s="18"/>
      <c r="I59" s="18"/>
      <c r="J59" s="19"/>
    </row>
    <row r="60" spans="1:13" x14ac:dyDescent="0.25">
      <c r="C60" s="18"/>
      <c r="D60" s="30"/>
      <c r="E60" s="1"/>
      <c r="G60" s="22"/>
      <c r="H60" s="18"/>
      <c r="I60" s="18"/>
      <c r="J60" s="19"/>
    </row>
    <row r="61" spans="1:13" x14ac:dyDescent="0.25">
      <c r="C61" s="18"/>
      <c r="D61" s="30"/>
      <c r="E61" s="1"/>
      <c r="G61" s="22"/>
      <c r="H61" s="18"/>
      <c r="I61" s="18"/>
      <c r="J61" s="19"/>
    </row>
    <row r="62" spans="1:13" x14ac:dyDescent="0.25">
      <c r="C62" s="18"/>
      <c r="D62" s="30"/>
      <c r="E62" s="1"/>
      <c r="G62" s="23"/>
      <c r="I62" s="3"/>
      <c r="J62" s="19"/>
    </row>
    <row r="63" spans="1:13" x14ac:dyDescent="0.25">
      <c r="B63" s="2"/>
      <c r="C63" s="2"/>
      <c r="D63" s="31"/>
      <c r="E63" s="31"/>
      <c r="G63" s="45"/>
      <c r="H63" s="45"/>
      <c r="I63" s="45"/>
      <c r="J63" s="45"/>
    </row>
    <row r="64" spans="1:13" x14ac:dyDescent="0.25">
      <c r="G64" s="23"/>
      <c r="H64" s="15"/>
      <c r="I64" s="28"/>
      <c r="J64" s="29"/>
    </row>
    <row r="65" spans="2:10" x14ac:dyDescent="0.25">
      <c r="B65" s="4"/>
      <c r="C65" s="30"/>
      <c r="G65" s="27"/>
      <c r="I65" s="25"/>
      <c r="J65" s="42"/>
    </row>
    <row r="66" spans="2:10" x14ac:dyDescent="0.25">
      <c r="B66" s="4"/>
      <c r="C66" s="1"/>
      <c r="G66" s="27"/>
      <c r="I66" s="25"/>
      <c r="J66" s="42"/>
    </row>
    <row r="67" spans="2:10" x14ac:dyDescent="0.25">
      <c r="B67" s="4"/>
      <c r="G67" s="2"/>
      <c r="J67" s="42"/>
    </row>
    <row r="68" spans="2:10" x14ac:dyDescent="0.25">
      <c r="B68" s="4"/>
      <c r="C68" s="18"/>
      <c r="G68" s="27"/>
      <c r="J68" s="42"/>
    </row>
    <row r="69" spans="2:10" x14ac:dyDescent="0.25">
      <c r="B69" s="4"/>
      <c r="C69" s="19"/>
    </row>
    <row r="70" spans="2:10" x14ac:dyDescent="0.25">
      <c r="B70" s="4"/>
    </row>
    <row r="71" spans="2:10" x14ac:dyDescent="0.25">
      <c r="B71" s="16"/>
      <c r="C71" s="2"/>
    </row>
    <row r="72" spans="2:10" x14ac:dyDescent="0.25">
      <c r="B72" s="4"/>
    </row>
    <row r="73" spans="2:10" x14ac:dyDescent="0.25">
      <c r="B73" s="16"/>
      <c r="C73" s="2"/>
      <c r="D73" s="2"/>
    </row>
    <row r="74" spans="2:10" x14ac:dyDescent="0.25">
      <c r="B74" s="4"/>
    </row>
    <row r="75" spans="2:10" x14ac:dyDescent="0.25">
      <c r="B75" s="4"/>
      <c r="F75" s="24"/>
    </row>
    <row r="76" spans="2:10" x14ac:dyDescent="0.25">
      <c r="B76" s="4"/>
      <c r="C76" s="3"/>
    </row>
    <row r="77" spans="2:10" x14ac:dyDescent="0.25">
      <c r="B77" s="4"/>
    </row>
    <row r="78" spans="2:10" x14ac:dyDescent="0.25">
      <c r="B78" s="16"/>
      <c r="C78" s="17"/>
      <c r="D78" s="2"/>
    </row>
  </sheetData>
  <mergeCells count="12">
    <mergeCell ref="B2:E2"/>
    <mergeCell ref="G2:J2"/>
    <mergeCell ref="G9:J9"/>
    <mergeCell ref="A1:B1"/>
    <mergeCell ref="A28:B28"/>
    <mergeCell ref="G63:J63"/>
    <mergeCell ref="B29:E29"/>
    <mergeCell ref="G29:J29"/>
    <mergeCell ref="G36:J36"/>
    <mergeCell ref="A55:B55"/>
    <mergeCell ref="B56:E56"/>
    <mergeCell ref="G56:J56"/>
  </mergeCells>
  <pageMargins left="0.7" right="0.7" top="0.75" bottom="0.75" header="0.3" footer="0.3"/>
  <pageSetup scale="43" fitToHeight="0" orientation="portrait" r:id="rId1"/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DFD0-9E9A-4919-AE76-05883FB09FDD}">
  <sheetPr>
    <tabColor theme="9" tint="0.59999389629810485"/>
    <pageSetUpPr fitToPage="1"/>
  </sheetPr>
  <dimension ref="B2:Q49"/>
  <sheetViews>
    <sheetView zoomScaleNormal="100" zoomScaleSheetLayoutView="100" workbookViewId="0">
      <selection activeCell="K3" sqref="K3"/>
    </sheetView>
  </sheetViews>
  <sheetFormatPr defaultRowHeight="15" x14ac:dyDescent="0.25"/>
  <cols>
    <col min="1" max="1" width="10.7109375" customWidth="1"/>
    <col min="2" max="2" width="24.7109375" customWidth="1"/>
    <col min="3" max="5" width="12.7109375" customWidth="1"/>
    <col min="7" max="11" width="12.7109375" customWidth="1"/>
  </cols>
  <sheetData>
    <row r="2" spans="2:17" x14ac:dyDescent="0.25">
      <c r="B2" s="46" t="s">
        <v>40</v>
      </c>
      <c r="C2" s="46"/>
      <c r="D2" s="46"/>
      <c r="E2" s="46"/>
      <c r="G2" s="46" t="s">
        <v>41</v>
      </c>
      <c r="H2" s="46"/>
      <c r="I2" s="46"/>
      <c r="J2" s="46"/>
    </row>
    <row r="3" spans="2:17" ht="45" x14ac:dyDescent="0.25">
      <c r="B3" s="6" t="s">
        <v>0</v>
      </c>
      <c r="C3" s="7" t="s">
        <v>4</v>
      </c>
      <c r="D3" s="6" t="s">
        <v>5</v>
      </c>
      <c r="E3" s="6" t="s">
        <v>6</v>
      </c>
      <c r="G3" s="7" t="s">
        <v>9</v>
      </c>
      <c r="H3" s="7" t="s">
        <v>16</v>
      </c>
      <c r="I3" s="7" t="s">
        <v>14</v>
      </c>
      <c r="J3" s="7" t="s">
        <v>15</v>
      </c>
      <c r="K3" s="15"/>
    </row>
    <row r="4" spans="2:17" x14ac:dyDescent="0.25">
      <c r="B4" s="8" t="s">
        <v>26</v>
      </c>
      <c r="C4" s="9">
        <v>0.65</v>
      </c>
      <c r="D4" s="10">
        <v>0</v>
      </c>
      <c r="E4" s="11">
        <f>C4*D4</f>
        <v>0</v>
      </c>
      <c r="G4" s="20">
        <v>5</v>
      </c>
      <c r="H4" s="9">
        <f>$C$24/60</f>
        <v>0.60526789769866185</v>
      </c>
      <c r="I4" s="9">
        <f>H11*(H4+I11)^(J11)</f>
        <v>3.743222965482941</v>
      </c>
      <c r="J4" s="14">
        <f>$C$14*I4*$C$15</f>
        <v>8.0765930454937074</v>
      </c>
    </row>
    <row r="5" spans="2:17" x14ac:dyDescent="0.25">
      <c r="B5" s="8" t="s">
        <v>37</v>
      </c>
      <c r="C5" s="9">
        <v>0.8</v>
      </c>
      <c r="D5" s="10">
        <f>5*5000</f>
        <v>25000</v>
      </c>
      <c r="E5" s="11">
        <f t="shared" ref="E5:E8" si="0">C5*D5</f>
        <v>20000</v>
      </c>
      <c r="G5" s="20">
        <v>10</v>
      </c>
      <c r="H5" s="9">
        <f>$C$24/60</f>
        <v>0.60526789769866185</v>
      </c>
      <c r="I5" s="9">
        <f t="shared" ref="I5:I7" si="1">H12*(H5+I12)^(J12)</f>
        <v>4.1815630671135313</v>
      </c>
      <c r="J5" s="14">
        <f>$C$14*I5*$C$15</f>
        <v>9.0223808462836796</v>
      </c>
    </row>
    <row r="6" spans="2:17" x14ac:dyDescent="0.25">
      <c r="B6" s="8" t="s">
        <v>38</v>
      </c>
      <c r="C6" s="9">
        <v>0.85</v>
      </c>
      <c r="D6" s="10">
        <f>5*1500</f>
        <v>7500</v>
      </c>
      <c r="E6" s="11">
        <f t="shared" si="0"/>
        <v>6375</v>
      </c>
      <c r="G6" s="20">
        <v>25</v>
      </c>
      <c r="H6" s="9">
        <f t="shared" ref="H6:H7" si="2">$C$24/60</f>
        <v>0.60526789769866185</v>
      </c>
      <c r="I6" s="9">
        <f t="shared" si="1"/>
        <v>4.7985437101407902</v>
      </c>
      <c r="J6" s="14">
        <f t="shared" ref="J6:J7" si="3">$C$14*I6*$C$15</f>
        <v>10.353613748151519</v>
      </c>
    </row>
    <row r="7" spans="2:17" x14ac:dyDescent="0.25">
      <c r="B7" s="8" t="s">
        <v>36</v>
      </c>
      <c r="C7" s="9">
        <v>0.95</v>
      </c>
      <c r="D7" s="10">
        <v>0</v>
      </c>
      <c r="E7" s="11">
        <f t="shared" si="0"/>
        <v>0</v>
      </c>
      <c r="G7" s="20">
        <v>100</v>
      </c>
      <c r="H7" s="9">
        <f t="shared" si="2"/>
        <v>0.60526789769866185</v>
      </c>
      <c r="I7" s="9">
        <f t="shared" si="1"/>
        <v>5.7542370026628511</v>
      </c>
      <c r="J7" s="14">
        <f t="shared" si="3"/>
        <v>12.415672533103647</v>
      </c>
    </row>
    <row r="8" spans="2:17" x14ac:dyDescent="0.25">
      <c r="B8" s="8" t="s">
        <v>2</v>
      </c>
      <c r="C8" s="9">
        <v>0.3</v>
      </c>
      <c r="D8" s="10">
        <f>(5.92*43560)-D5-D6</f>
        <v>225375.19999999998</v>
      </c>
      <c r="E8" s="11">
        <f t="shared" si="0"/>
        <v>67612.56</v>
      </c>
      <c r="G8" s="23"/>
      <c r="I8" s="3"/>
      <c r="J8" s="19"/>
    </row>
    <row r="9" spans="2:17" ht="17.25" x14ac:dyDescent="0.25">
      <c r="B9" s="12" t="s">
        <v>7</v>
      </c>
      <c r="C9" s="12"/>
      <c r="D9" s="13">
        <f>SUM(D4:D8)</f>
        <v>257875.19999999998</v>
      </c>
      <c r="E9" s="13">
        <f>SUM(E4:E8)</f>
        <v>93987.56</v>
      </c>
      <c r="G9" s="45" t="s">
        <v>35</v>
      </c>
      <c r="H9" s="45"/>
      <c r="I9" s="45"/>
      <c r="J9" s="45"/>
    </row>
    <row r="10" spans="2:17" x14ac:dyDescent="0.25">
      <c r="G10" s="23"/>
      <c r="H10" s="15" t="s">
        <v>28</v>
      </c>
      <c r="I10" s="28" t="s">
        <v>29</v>
      </c>
      <c r="J10" s="29" t="s">
        <v>30</v>
      </c>
    </row>
    <row r="11" spans="2:17" x14ac:dyDescent="0.25">
      <c r="B11" s="4" t="s">
        <v>39</v>
      </c>
      <c r="C11" s="5">
        <f>E9</f>
        <v>93987.56</v>
      </c>
      <c r="G11" s="27" t="s">
        <v>31</v>
      </c>
      <c r="H11">
        <v>3.536</v>
      </c>
      <c r="I11" s="25">
        <v>0.33</v>
      </c>
      <c r="J11" s="26">
        <v>-0.85099999999999998</v>
      </c>
    </row>
    <row r="12" spans="2:17" x14ac:dyDescent="0.25">
      <c r="B12" s="4"/>
      <c r="C12" s="1">
        <f>D9</f>
        <v>257875.19999999998</v>
      </c>
      <c r="G12" s="27" t="s">
        <v>32</v>
      </c>
      <c r="H12">
        <v>4.016</v>
      </c>
      <c r="I12" s="25">
        <v>0.34699999999999998</v>
      </c>
      <c r="J12" s="26">
        <v>-0.82599999999999996</v>
      </c>
      <c r="Q12">
        <v>0.70389999999999997</v>
      </c>
    </row>
    <row r="13" spans="2:17" x14ac:dyDescent="0.25">
      <c r="B13" s="4"/>
      <c r="G13" s="2" t="s">
        <v>34</v>
      </c>
      <c r="H13">
        <v>4.6109999999999998</v>
      </c>
      <c r="I13">
        <v>0.34599999999999997</v>
      </c>
      <c r="J13" s="26">
        <v>-0.79800000000000004</v>
      </c>
      <c r="Q13">
        <v>0.39169999999999999</v>
      </c>
    </row>
    <row r="14" spans="2:17" x14ac:dyDescent="0.25">
      <c r="B14" s="4" t="s">
        <v>39</v>
      </c>
      <c r="C14" s="18">
        <f>E9/D9</f>
        <v>0.36446916958280595</v>
      </c>
      <c r="G14" s="27" t="s">
        <v>33</v>
      </c>
      <c r="H14">
        <v>5.4870000000000001</v>
      </c>
      <c r="I14">
        <v>0.33400000000000002</v>
      </c>
      <c r="J14" s="26">
        <v>-0.75900000000000001</v>
      </c>
      <c r="Q14">
        <v>-1.1309</v>
      </c>
    </row>
    <row r="15" spans="2:17" x14ac:dyDescent="0.25">
      <c r="B15" s="4" t="s">
        <v>10</v>
      </c>
      <c r="C15" s="19">
        <f>D9/43560</f>
        <v>5.92</v>
      </c>
      <c r="D15" t="s">
        <v>11</v>
      </c>
      <c r="Q15">
        <v>-0.19850000000000001</v>
      </c>
    </row>
    <row r="16" spans="2:17" x14ac:dyDescent="0.25">
      <c r="B16" s="4"/>
    </row>
    <row r="17" spans="2:10" x14ac:dyDescent="0.25">
      <c r="B17" s="16" t="s">
        <v>12</v>
      </c>
      <c r="C17" s="2" t="s">
        <v>13</v>
      </c>
    </row>
    <row r="18" spans="2:10" x14ac:dyDescent="0.25">
      <c r="B18" s="4"/>
    </row>
    <row r="19" spans="2:10" ht="17.25" x14ac:dyDescent="0.25">
      <c r="B19" s="16" t="s">
        <v>17</v>
      </c>
      <c r="C19" s="2" t="s">
        <v>21</v>
      </c>
      <c r="D19" s="2"/>
    </row>
    <row r="20" spans="2:10" x14ac:dyDescent="0.25">
      <c r="B20" s="4"/>
    </row>
    <row r="21" spans="2:10" x14ac:dyDescent="0.25">
      <c r="B21" s="4" t="s">
        <v>18</v>
      </c>
      <c r="C21">
        <v>685</v>
      </c>
      <c r="D21" t="s">
        <v>19</v>
      </c>
      <c r="E21" t="s">
        <v>27</v>
      </c>
      <c r="F21" s="24">
        <v>2</v>
      </c>
    </row>
    <row r="22" spans="2:10" x14ac:dyDescent="0.25">
      <c r="B22" s="4" t="s">
        <v>20</v>
      </c>
      <c r="C22" s="3">
        <f>(F21/C21)*100</f>
        <v>0.29197080291970801</v>
      </c>
      <c r="D22" t="s">
        <v>25</v>
      </c>
    </row>
    <row r="23" spans="2:10" x14ac:dyDescent="0.25">
      <c r="B23" s="4"/>
    </row>
    <row r="24" spans="2:10" x14ac:dyDescent="0.25">
      <c r="B24" s="16" t="s">
        <v>42</v>
      </c>
      <c r="C24" s="17">
        <f>(Q12*(C21^(Q13))*(C14^(Q14))*(C22^(Q15)))</f>
        <v>36.316073861919712</v>
      </c>
      <c r="D24" s="2" t="s">
        <v>23</v>
      </c>
    </row>
    <row r="27" spans="2:10" x14ac:dyDescent="0.25">
      <c r="B27" s="2"/>
      <c r="C27" s="2"/>
      <c r="D27" s="2"/>
      <c r="E27" s="2"/>
    </row>
    <row r="28" spans="2:10" x14ac:dyDescent="0.25">
      <c r="B28" s="15"/>
      <c r="C28" s="21"/>
      <c r="D28" s="15"/>
      <c r="E28" s="15"/>
      <c r="G28" s="2"/>
      <c r="H28" s="2"/>
      <c r="I28" s="2"/>
      <c r="J28" s="2"/>
    </row>
    <row r="29" spans="2:10" x14ac:dyDescent="0.25">
      <c r="C29" s="18"/>
      <c r="D29" s="30"/>
      <c r="E29" s="1"/>
      <c r="G29" s="21"/>
      <c r="H29" s="21"/>
      <c r="I29" s="21"/>
      <c r="J29" s="21"/>
    </row>
    <row r="30" spans="2:10" x14ac:dyDescent="0.25">
      <c r="C30" s="18"/>
      <c r="D30" s="30"/>
      <c r="E30" s="1"/>
      <c r="G30" s="22"/>
      <c r="H30" s="18"/>
      <c r="I30" s="3"/>
      <c r="J30" s="19"/>
    </row>
    <row r="31" spans="2:10" x14ac:dyDescent="0.25">
      <c r="C31" s="18"/>
      <c r="D31" s="30"/>
      <c r="E31" s="1"/>
      <c r="G31" s="22"/>
      <c r="H31" s="18"/>
      <c r="I31" s="3"/>
      <c r="J31" s="19"/>
    </row>
    <row r="32" spans="2:10" x14ac:dyDescent="0.25">
      <c r="C32" s="18"/>
      <c r="D32" s="30"/>
      <c r="E32" s="1"/>
      <c r="G32" s="22"/>
      <c r="H32" s="18"/>
      <c r="I32" s="3"/>
      <c r="J32" s="19"/>
    </row>
    <row r="33" spans="2:6" x14ac:dyDescent="0.25">
      <c r="C33" s="18"/>
      <c r="D33" s="30"/>
      <c r="E33" s="1"/>
    </row>
    <row r="34" spans="2:6" x14ac:dyDescent="0.25">
      <c r="B34" s="2"/>
      <c r="C34" s="2"/>
      <c r="D34" s="31"/>
      <c r="E34" s="31"/>
    </row>
    <row r="36" spans="2:6" x14ac:dyDescent="0.25">
      <c r="B36" s="4"/>
      <c r="C36" s="30"/>
    </row>
    <row r="37" spans="2:6" x14ac:dyDescent="0.25">
      <c r="B37" s="4"/>
      <c r="C37" s="1"/>
    </row>
    <row r="38" spans="2:6" x14ac:dyDescent="0.25">
      <c r="B38" s="4"/>
    </row>
    <row r="39" spans="2:6" x14ac:dyDescent="0.25">
      <c r="B39" s="4"/>
      <c r="C39" s="18"/>
    </row>
    <row r="40" spans="2:6" x14ac:dyDescent="0.25">
      <c r="B40" s="4"/>
      <c r="C40" s="19"/>
    </row>
    <row r="41" spans="2:6" x14ac:dyDescent="0.25">
      <c r="B41" s="4"/>
    </row>
    <row r="42" spans="2:6" x14ac:dyDescent="0.25">
      <c r="B42" s="16"/>
      <c r="C42" s="2"/>
    </row>
    <row r="43" spans="2:6" x14ac:dyDescent="0.25">
      <c r="B43" s="4"/>
    </row>
    <row r="44" spans="2:6" x14ac:dyDescent="0.25">
      <c r="B44" s="16"/>
      <c r="C44" s="2"/>
      <c r="D44" s="2"/>
    </row>
    <row r="45" spans="2:6" x14ac:dyDescent="0.25">
      <c r="B45" s="4"/>
    </row>
    <row r="46" spans="2:6" x14ac:dyDescent="0.25">
      <c r="B46" s="4"/>
      <c r="F46" s="24"/>
    </row>
    <row r="47" spans="2:6" x14ac:dyDescent="0.25">
      <c r="B47" s="4"/>
      <c r="C47" s="3"/>
    </row>
    <row r="48" spans="2:6" x14ac:dyDescent="0.25">
      <c r="B48" s="4"/>
    </row>
    <row r="49" spans="2:4" x14ac:dyDescent="0.25">
      <c r="B49" s="16"/>
      <c r="C49" s="17"/>
      <c r="D49" s="2"/>
    </row>
  </sheetData>
  <mergeCells count="3">
    <mergeCell ref="B2:E2"/>
    <mergeCell ref="G2:J2"/>
    <mergeCell ref="G9:J9"/>
  </mergeCells>
  <pageMargins left="0.7" right="0.7" top="0.75" bottom="0.75" header="0.3" footer="0.3"/>
  <pageSetup fitToHeight="0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CALC SUMMARY</vt:lpstr>
      <vt:lpstr>EXISTING</vt:lpstr>
      <vt:lpstr>PROPOSED</vt:lpstr>
      <vt:lpstr>RDSIDE DITCH</vt:lpstr>
      <vt:lpstr>EXISTING!Print_Area</vt:lpstr>
      <vt:lpstr>PROPOSED!Print_Area</vt:lpstr>
      <vt:lpstr>'RDSIDE DITCH'!Print_Area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Robichaux</dc:creator>
  <cp:lastModifiedBy>Jeanne Smith</cp:lastModifiedBy>
  <cp:lastPrinted>2025-01-13T16:13:00Z</cp:lastPrinted>
  <dcterms:created xsi:type="dcterms:W3CDTF">2023-04-20T17:16:55Z</dcterms:created>
  <dcterms:modified xsi:type="dcterms:W3CDTF">2025-09-24T22:06:18Z</dcterms:modified>
</cp:coreProperties>
</file>